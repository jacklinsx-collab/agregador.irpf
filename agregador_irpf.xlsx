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ackl\Downloads\"/>
    </mc:Choice>
  </mc:AlternateContent>
  <xr:revisionPtr revIDLastSave="0" documentId="13_ncr:1_{7AF070FD-BC1C-4E53-B350-AB527A28CB56}" xr6:coauthVersionLast="47" xr6:coauthVersionMax="47" xr10:uidLastSave="{00000000-0000-0000-0000-000000000000}"/>
  <bookViews>
    <workbookView showSheetTabs="0" xWindow="-108" yWindow="-108" windowWidth="23256" windowHeight="12456" activeTab="2" xr2:uid="{F380F96D-0FD7-4998-AB26-F8E25A5A5465}"/>
  </bookViews>
  <sheets>
    <sheet name="INÍCIO" sheetId="1" r:id="rId1"/>
    <sheet name="TITULAR " sheetId="2" r:id="rId2"/>
    <sheet name="INFORMES " sheetId="12" r:id="rId3"/>
    <sheet name="LANÇAMENTOS " sheetId="13" r:id="rId4"/>
    <sheet name="TABELAS APOIO" sheetId="7" state="hidden" r:id="rId5"/>
  </sheets>
  <definedNames>
    <definedName name="Bancos">'TABELAS APOIO'!$E$7:$E$56</definedName>
    <definedName name="Categoria">'TABELAS APOIO'!$C$7:$C$19</definedName>
    <definedName name="Categorias">'TABELAS APOIO'!$C$7:$C$19</definedName>
    <definedName name="Tipo_Informe">'TABELAS APOIO'!$D$7:$D$11</definedName>
    <definedName name="Tipo_Registro">'TABELAS APOIO'!$B$7:$B$8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2" l="1"/>
  <c r="I14" i="13"/>
  <c r="G25" i="12"/>
  <c r="F25" i="12"/>
  <c r="E25" i="12"/>
  <c r="I8" i="12"/>
  <c r="I9" i="12"/>
  <c r="I10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7" i="12"/>
  <c r="I8" i="13"/>
  <c r="I9" i="13"/>
  <c r="I10" i="13"/>
  <c r="I11" i="13"/>
  <c r="I12" i="13"/>
  <c r="I13" i="13"/>
  <c r="I15" i="13"/>
  <c r="I16" i="13"/>
  <c r="I17" i="13"/>
  <c r="I18" i="13"/>
  <c r="I19" i="13"/>
  <c r="I20" i="13"/>
  <c r="I21" i="13"/>
  <c r="I22" i="13"/>
  <c r="I23" i="13"/>
  <c r="I24" i="13"/>
  <c r="I25" i="13"/>
  <c r="I7" i="13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</calcChain>
</file>

<file path=xl/sharedStrings.xml><?xml version="1.0" encoding="utf-8"?>
<sst xmlns="http://schemas.openxmlformats.org/spreadsheetml/2006/main" count="179" uniqueCount="143">
  <si>
    <t>Preencha apenas os campos amarelos. Evite compartilhar a planilha com dados pessoais desnecessariamente.</t>
  </si>
  <si>
    <t>Campo</t>
  </si>
  <si>
    <t>Informação</t>
  </si>
  <si>
    <t>Conferência</t>
  </si>
  <si>
    <t>NOME COMPLETO</t>
  </si>
  <si>
    <t>CPF</t>
  </si>
  <si>
    <t>R.G</t>
  </si>
  <si>
    <t>DATA DE NASCIMENTO</t>
  </si>
  <si>
    <t>TÍTULO DE ELEITOR</t>
  </si>
  <si>
    <t>CÔNJUGE</t>
  </si>
  <si>
    <t>ENDEREÇO COMPLETO</t>
  </si>
  <si>
    <t>CEP</t>
  </si>
  <si>
    <t>TELEFONE C/DDD</t>
  </si>
  <si>
    <t>CELULAR C/DDD</t>
  </si>
  <si>
    <t>E-MAIL</t>
  </si>
  <si>
    <t>HOUVE ALTERAÇÕES DA ENTREGA ANTERIOR</t>
  </si>
  <si>
    <t>POSSUI DEPENDENTES (QTS)</t>
  </si>
  <si>
    <t>RESIDENTE DO EXTERIOR</t>
  </si>
  <si>
    <t>1. DADOS DO TITULAR</t>
  </si>
  <si>
    <t>Um informe por linha. Informe saldo e rendimentos conforme o documento da instituição.</t>
  </si>
  <si>
    <t>Instituição</t>
  </si>
  <si>
    <t>Tipo de Informe</t>
  </si>
  <si>
    <t>Rendimentos no Ano</t>
  </si>
  <si>
    <t>IR Retido na Fonte</t>
  </si>
  <si>
    <t>Situação</t>
  </si>
  <si>
    <t>Arquivo 📎</t>
  </si>
  <si>
    <t>Saldo em 31/12 - atual</t>
  </si>
  <si>
    <t>Total</t>
  </si>
  <si>
    <t>Tipo</t>
  </si>
  <si>
    <t>Categoria</t>
  </si>
  <si>
    <t>Valor Bruto/ Pago</t>
  </si>
  <si>
    <t>IR Retido</t>
  </si>
  <si>
    <t>Nome- Documento/ Arquivo</t>
  </si>
  <si>
    <t>2. INFORMES (BANCOS E CORRETORAS)</t>
  </si>
  <si>
    <t>Descrição</t>
  </si>
  <si>
    <t>6. TABELAS DE APOIO</t>
  </si>
  <si>
    <t>Esta aba alimenta as listas suspensas das abas de lançamento. Pode ser consultada, mas não precisa ser preenchida no uso normal.</t>
  </si>
  <si>
    <t>Tipos de registro</t>
  </si>
  <si>
    <t>Categorias</t>
  </si>
  <si>
    <t>Tipos de informe</t>
  </si>
  <si>
    <t>Banco</t>
  </si>
  <si>
    <t>Despesa</t>
  </si>
  <si>
    <t>Salário</t>
  </si>
  <si>
    <t>Pró-labore</t>
  </si>
  <si>
    <t>Autônomo</t>
  </si>
  <si>
    <t>Aluguel</t>
  </si>
  <si>
    <t>13º salário</t>
  </si>
  <si>
    <t>PLR</t>
  </si>
  <si>
    <t>Aplicação financeira</t>
  </si>
  <si>
    <t>Isento/não tributável</t>
  </si>
  <si>
    <t>Saúde</t>
  </si>
  <si>
    <t>Educação</t>
  </si>
  <si>
    <t>Previdência privada</t>
  </si>
  <si>
    <t>Pensão alimentícia</t>
  </si>
  <si>
    <t>Outro</t>
  </si>
  <si>
    <t xml:space="preserve">Conta corrente </t>
  </si>
  <si>
    <t>Conta Poupança</t>
  </si>
  <si>
    <t>Investimentos</t>
  </si>
  <si>
    <t>Previdência</t>
  </si>
  <si>
    <t>Outros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</si>
  <si>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</si>
  <si>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</si>
  <si>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</si>
  <si>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</si>
  <si>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</si>
  <si>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</si>
  <si>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</si>
  <si>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</si>
  <si>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</si>
  <si>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</si>
  <si>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</si>
  <si>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</si>
  <si>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</si>
  <si>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</si>
  <si>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</si>
  <si>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</si>
  <si>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</si>
  <si>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</si>
  <si>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</si>
  <si>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</si>
  <si>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</si>
  <si>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</si>
  <si>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</si>
  <si>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</si>
  <si>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</si>
  <si>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</si>
  <si>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</si>
  <si>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</si>
  <si>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</si>
  <si>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</si>
  <si>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</si>
  <si>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</si>
  <si>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</si>
  <si>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</si>
  <si>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</si>
  <si>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</si>
  <si>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</si>
  <si>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</si>
  <si>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</si>
  <si>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</si>
  <si>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</si>
  <si>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</si>
  <si>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</si>
  <si>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</si>
  <si>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</si>
  <si>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</si>
  <si>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</si>
  <si>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</si>
  <si>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</si>
  <si>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</si>
  <si>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APP IRPF FÁCIL COLAB</t>
  </si>
  <si>
    <t>ANA ROSA MADALENA SILVA</t>
  </si>
  <si>
    <t>000.000.000-00</t>
  </si>
  <si>
    <t>11.111.111-1</t>
  </si>
  <si>
    <t>123.456.789.-0</t>
  </si>
  <si>
    <t>MARCIO ROSA SILVA</t>
  </si>
  <si>
    <t>CIDADE/UF</t>
  </si>
  <si>
    <t>11 0000-0000</t>
  </si>
  <si>
    <t>11 9 0000-0000</t>
  </si>
  <si>
    <t>RUA DOS SONHOS, N.057, VILA DO ACORDEI</t>
  </si>
  <si>
    <t>SÃO PAULO/SP</t>
  </si>
  <si>
    <t>ANAROSA@EMAIL.COM.BR</t>
  </si>
  <si>
    <t>Não</t>
  </si>
  <si>
    <t>Extrato- 1</t>
  </si>
  <si>
    <t>Extrato-2</t>
  </si>
  <si>
    <t>Extrato- 4</t>
  </si>
  <si>
    <t>Extrato-4</t>
  </si>
  <si>
    <t>Extrato-5</t>
  </si>
  <si>
    <t>Recebimento</t>
  </si>
  <si>
    <t>Recebimento PJ</t>
  </si>
  <si>
    <t>Pagamento free lancer</t>
  </si>
  <si>
    <t>Apartamento</t>
  </si>
  <si>
    <t>Informe Bancário IRPF/2026</t>
  </si>
  <si>
    <t>Convênio</t>
  </si>
  <si>
    <t>Declaração de Quitação 4</t>
  </si>
  <si>
    <t>Faculdade</t>
  </si>
  <si>
    <t>Declaração de Quitação 5</t>
  </si>
  <si>
    <t>Declaração de Quitação 6</t>
  </si>
  <si>
    <t>"© APP IRPF FÁCIL COLAB"</t>
  </si>
  <si>
    <t>Use uma linha por recebimento ou despesa, somados o período de 12 meses. Escolha o tipo e a categoria.</t>
  </si>
  <si>
    <t>3. LANÇAMENTOS (RECEBIMENTOS E DESPESAS)</t>
  </si>
  <si>
    <t>00000-000</t>
  </si>
  <si>
    <t>Nota fiscal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</si>
</sst>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00000\-00"/>
    <numFmt numFmtId="166" formatCode="[&lt;=9999999]###\-####;\(###\)\ ###\-####"/>
    <numFmt numFmtId="167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b/>
      <sz val="12.5"/>
      <color theme="0"/>
      <name val="Abadi"/>
      <family val="2"/>
    </font>
    <font>
      <sz val="9"/>
      <color theme="0" tint="-0.34998626667073579"/>
      <name val="Aptos Narrow"/>
      <family val="2"/>
      <scheme val="minor"/>
    </font>
    <font>
      <b/>
      <sz val="11"/>
      <color rgb="FFFFFFFF"/>
      <name val="Calibri"/>
      <family val="2"/>
    </font>
    <font>
      <sz val="15"/>
      <color theme="0"/>
      <name val="Aptos Display"/>
      <family val="2"/>
      <scheme val="major"/>
    </font>
    <font>
      <sz val="8"/>
      <color theme="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22"/>
      <color theme="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rgb="FFD9E1F2"/>
      </left>
      <right style="thin">
        <color rgb="FFD9E1F2"/>
      </right>
      <top/>
      <bottom style="hair">
        <color rgb="FFEAEAEA"/>
      </bottom>
      <diagonal/>
    </border>
    <border>
      <left/>
      <right/>
      <top/>
      <bottom style="hair">
        <color rgb="FFEAEAEA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2" xfId="0" applyBorder="1" applyAlignment="1">
      <alignment vertical="center"/>
    </xf>
    <xf numFmtId="0" fontId="0" fillId="2" borderId="0" xfId="0" applyFill="1"/>
    <xf numFmtId="0" fontId="4" fillId="0" borderId="0" xfId="0" applyFont="1" applyAlignment="1">
      <alignment wrapText="1"/>
    </xf>
    <xf numFmtId="164" fontId="0" fillId="5" borderId="5" xfId="0" applyNumberFormat="1" applyFill="1" applyBorder="1" applyAlignment="1">
      <alignment horizontal="right"/>
    </xf>
    <xf numFmtId="0" fontId="0" fillId="6" borderId="5" xfId="0" applyFill="1" applyBorder="1" applyAlignment="1">
      <alignment vertical="center"/>
    </xf>
    <xf numFmtId="0" fontId="4" fillId="0" borderId="0" xfId="0" applyFont="1" applyAlignment="1">
      <alignment vertical="center"/>
    </xf>
    <xf numFmtId="165" fontId="0" fillId="5" borderId="5" xfId="0" applyNumberFormat="1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166" fontId="0" fillId="5" borderId="5" xfId="0" applyNumberFormat="1" applyFill="1" applyBorder="1" applyAlignment="1">
      <alignment horizontal="right"/>
    </xf>
    <xf numFmtId="0" fontId="3" fillId="2" borderId="0" xfId="0" applyFont="1" applyFill="1"/>
    <xf numFmtId="0" fontId="1" fillId="2" borderId="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167" fontId="0" fillId="5" borderId="5" xfId="0" applyNumberFormat="1" applyFill="1" applyBorder="1" applyAlignment="1">
      <alignment horizontal="right"/>
    </xf>
    <xf numFmtId="167" fontId="0" fillId="6" borderId="5" xfId="0" applyNumberFormat="1" applyFill="1" applyBorder="1" applyAlignment="1">
      <alignment vertical="center"/>
    </xf>
    <xf numFmtId="0" fontId="3" fillId="0" borderId="0" xfId="0" applyFont="1"/>
    <xf numFmtId="0" fontId="5" fillId="7" borderId="7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6" xfId="0" applyFill="1" applyBorder="1"/>
    <xf numFmtId="0" fontId="0" fillId="6" borderId="5" xfId="0" applyFill="1" applyBorder="1" applyAlignment="1">
      <alignment horizontal="left" vertical="center"/>
    </xf>
    <xf numFmtId="164" fontId="0" fillId="5" borderId="5" xfId="0" applyNumberFormat="1" applyFill="1" applyBorder="1" applyAlignment="1">
      <alignment horizontal="left" vertical="center"/>
    </xf>
    <xf numFmtId="167" fontId="0" fillId="5" borderId="5" xfId="0" applyNumberForma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4" fontId="0" fillId="5" borderId="5" xfId="0" applyNumberFormat="1" applyFill="1" applyBorder="1" applyAlignment="1">
      <alignment horizontal="right"/>
    </xf>
    <xf numFmtId="0" fontId="8" fillId="5" borderId="5" xfId="1" applyFill="1" applyBorder="1" applyAlignment="1">
      <alignment horizontal="right"/>
    </xf>
    <xf numFmtId="0" fontId="9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'TITULAR '!A1"/><Relationship Id="rId5" Type="http://schemas.openxmlformats.org/officeDocument/2006/relationships/hyperlink" Target="#'LAN&#199;AMENTOS '!A1"/><Relationship Id="rId4" Type="http://schemas.openxmlformats.org/officeDocument/2006/relationships/hyperlink" Target="#'INFORMES '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IN&#205;CIO!A1"/><Relationship Id="rId5" Type="http://schemas.openxmlformats.org/officeDocument/2006/relationships/hyperlink" Target="#'LAN&#199;AMENTOS '!A1"/><Relationship Id="rId4" Type="http://schemas.openxmlformats.org/officeDocument/2006/relationships/hyperlink" Target="#'INFORMES 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TITULAR '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'LAN&#199;AMENTOS 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TITULAR '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'LAN&#199;AMENTOS '!A1"/><Relationship Id="rId4" Type="http://schemas.openxmlformats.org/officeDocument/2006/relationships/hyperlink" Target="#'INFORMES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1154430</xdr:colOff>
      <xdr:row>9</xdr:row>
      <xdr:rowOff>38100</xdr:rowOff>
    </xdr:from>
    <xdr:to>
      <xdr:col>0</xdr:col>
      <xdr:colOff>3020060</xdr:colOff>
      <xdr:row>10</xdr:row>
      <xdr:rowOff>198120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253C5-6237-4B02-AA16-A854C5E79AB9}"/>
            </a:ext>
          </a:extLst>
        </xdr:cNvPr>
        <xdr:cNvSpPr/>
      </xdr:nvSpPr>
      <xdr:spPr>
        <a:xfrm>
          <a:off x="1154430" y="2026920"/>
          <a:ext cx="1865630" cy="381000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lt1"/>
              </a:solidFill>
              <a:latin typeface="+mn-lt"/>
              <a:ea typeface="ADLaM Display" panose="02010000000000000000" pitchFamily="2" charset="0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1531620</xdr:colOff>
      <xdr:row>0</xdr:row>
      <xdr:rowOff>191345</xdr:rowOff>
    </xdr:from>
    <xdr:to>
      <xdr:col>0</xdr:col>
      <xdr:colOff>2674620</xdr:colOff>
      <xdr:row>5</xdr:row>
      <xdr:rowOff>160020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6A97EC-596B-4BDA-952A-A25AE0A29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191345"/>
          <a:ext cx="1143000" cy="1073575"/>
        </a:xfrm>
        <a:prstGeom prst="ellipse">
          <a:avLst/>
        </a:prstGeom>
        <a:effectLst>
          <a:glow>
            <a:schemeClr val="accent1">
              <a:alpha val="35000"/>
            </a:schemeClr>
          </a:glow>
          <a:outerShdw blurRad="50800" dist="38100" dir="10800000" algn="r" rotWithShape="0">
            <a:prstClr val="black">
              <a:alpha val="40000"/>
            </a:prstClr>
          </a:outerShdw>
          <a:softEdge rad="0"/>
        </a:effectLst>
      </xdr:spPr>
    </xdr:pic>
    <xdr:clientData/>
  </xdr:twoCellAnchor>
  <xdr:twoCellAnchor editAs="absolute">
    <xdr:from>
      <xdr:col>0</xdr:col>
      <xdr:colOff>1163955</xdr:colOff>
      <xdr:row>12</xdr:row>
      <xdr:rowOff>68580</xdr:rowOff>
    </xdr:from>
    <xdr:to>
      <xdr:col>0</xdr:col>
      <xdr:colOff>3021965</xdr:colOff>
      <xdr:row>13</xdr:row>
      <xdr:rowOff>218440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9A9540-EDE6-4DB3-85A6-3D7109CC8A5D}"/>
            </a:ext>
          </a:extLst>
        </xdr:cNvPr>
        <xdr:cNvSpPr/>
      </xdr:nvSpPr>
      <xdr:spPr>
        <a:xfrm>
          <a:off x="1163955" y="2720340"/>
          <a:ext cx="1858010" cy="370840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lt1"/>
              </a:solidFill>
              <a:latin typeface="+mn-lt"/>
              <a:ea typeface="ADLaM Display" panose="02010000000000000000" pitchFamily="2" charset="0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1165860</xdr:colOff>
      <xdr:row>15</xdr:row>
      <xdr:rowOff>88900</xdr:rowOff>
    </xdr:from>
    <xdr:to>
      <xdr:col>0</xdr:col>
      <xdr:colOff>3008630</xdr:colOff>
      <xdr:row>17</xdr:row>
      <xdr:rowOff>17780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5C7321-FE36-466D-8140-1F40C857B6E6}"/>
            </a:ext>
          </a:extLst>
        </xdr:cNvPr>
        <xdr:cNvSpPr/>
      </xdr:nvSpPr>
      <xdr:spPr>
        <a:xfrm>
          <a:off x="1165860" y="3403600"/>
          <a:ext cx="1842770" cy="370840"/>
        </a:xfrm>
        <a:prstGeom prst="roundRect">
          <a:avLst>
            <a:gd name="adj" fmla="val 5000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lt1"/>
              </a:solidFill>
              <a:latin typeface="+mn-lt"/>
              <a:ea typeface="ADLaM Display" panose="02010000000000000000" pitchFamily="2" charset="0"/>
              <a:cs typeface="Aharoni" panose="020F0502020204030204" pitchFamily="2" charset="-79"/>
            </a:rPr>
            <a:t>LANÇAMENTOS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25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EA480914-4BC5-6222-3BDD-1C2CB77186DF}"/>
            </a:ext>
          </a:extLst>
        </xdr:cNvPr>
        <xdr:cNvSpPr/>
      </xdr:nvSpPr>
      <xdr:spPr>
        <a:xfrm>
          <a:off x="0" y="4640580"/>
          <a:ext cx="3771900" cy="5791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/>
            <a:t>"© 2026 </a:t>
          </a:r>
          <a:r>
            <a:rPr lang="pt-BR" sz="700" b="1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IRPF Fácil</a:t>
          </a:r>
          <a:r>
            <a:rPr lang="pt-BR" sz="700"/>
            <a:t> • Todos os direitos reservados. Licença de uso individual e intransferível. Nós cuidamos da organização dos seus bens e despesas, mas lembre-se: a validação final e o envio dos dados à Receita Federal são de sua inteira responsabilidade. Deixe o leão manso com a gente!"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967740</xdr:colOff>
      <xdr:row>23</xdr:row>
      <xdr:rowOff>163830</xdr:rowOff>
    </xdr:from>
    <xdr:to>
      <xdr:col>2</xdr:col>
      <xdr:colOff>2341034</xdr:colOff>
      <xdr:row>24</xdr:row>
      <xdr:rowOff>163830</xdr:rowOff>
    </xdr:to>
    <xdr:sp macro="" textlink="">
      <xdr:nvSpPr>
        <xdr:cNvPr id="25" name="Retângulo: Cantos Arredondado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B7657-B4DD-414F-9576-E9BDEBEE62C2}"/>
            </a:ext>
          </a:extLst>
        </xdr:cNvPr>
        <xdr:cNvSpPr/>
      </xdr:nvSpPr>
      <xdr:spPr>
        <a:xfrm>
          <a:off x="2941320" y="5010150"/>
          <a:ext cx="2386754" cy="220980"/>
        </a:xfrm>
        <a:prstGeom prst="roundRect">
          <a:avLst>
            <a:gd name="adj" fmla="val 50000"/>
          </a:avLst>
        </a:prstGeom>
        <a:solidFill>
          <a:srgbClr val="00206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INÍCIO</a:t>
          </a:r>
        </a:p>
      </xdr:txBody>
    </xdr:sp>
    <xdr:clientData/>
  </xdr:twoCellAnchor>
  <xdr:twoCellAnchor editAs="absolute">
    <xdr:from>
      <xdr:col>0</xdr:col>
      <xdr:colOff>548640</xdr:colOff>
      <xdr:row>1</xdr:row>
      <xdr:rowOff>15240</xdr:rowOff>
    </xdr:from>
    <xdr:to>
      <xdr:col>0</xdr:col>
      <xdr:colOff>1424940</xdr:colOff>
      <xdr:row>5</xdr:row>
      <xdr:rowOff>47413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A91EBC3-2CEF-4575-9018-5C5667507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98120"/>
          <a:ext cx="876300" cy="877993"/>
        </a:xfrm>
        <a:prstGeom prst="ellipse">
          <a:avLst/>
        </a:prstGeom>
        <a:effectLst>
          <a:glow>
            <a:srgbClr val="156082">
              <a:alpha val="35000"/>
            </a:srgbClr>
          </a:glow>
          <a:outerShdw blurRad="50800" dist="38100" dir="10800000" algn="r" rotWithShape="0">
            <a:prstClr val="black">
              <a:alpha val="40000"/>
            </a:prstClr>
          </a:outerShdw>
          <a:softEdge rad="0"/>
        </a:effectLst>
      </xdr:spPr>
    </xdr:pic>
    <xdr:clientData/>
  </xdr:twoCellAnchor>
  <xdr:twoCellAnchor editAs="absolute">
    <xdr:from>
      <xdr:col>0</xdr:col>
      <xdr:colOff>259080</xdr:colOff>
      <xdr:row>6</xdr:row>
      <xdr:rowOff>137160</xdr:rowOff>
    </xdr:from>
    <xdr:to>
      <xdr:col>0</xdr:col>
      <xdr:colOff>1699260</xdr:colOff>
      <xdr:row>8</xdr:row>
      <xdr:rowOff>66040</xdr:rowOff>
    </xdr:to>
    <xdr:sp macro="" textlink="">
      <xdr:nvSpPr>
        <xdr:cNvPr id="64" name="Retângulo: Cantos Arredondados 63">
          <a:extLst>
            <a:ext uri="{FF2B5EF4-FFF2-40B4-BE49-F238E27FC236}">
              <a16:creationId xmlns:a16="http://schemas.microsoft.com/office/drawing/2014/main" id="{EA91EF77-662B-414B-B352-AAA0EC075335}"/>
            </a:ext>
          </a:extLst>
        </xdr:cNvPr>
        <xdr:cNvSpPr/>
      </xdr:nvSpPr>
      <xdr:spPr>
        <a:xfrm>
          <a:off x="259080" y="1386840"/>
          <a:ext cx="144018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266700</xdr:colOff>
      <xdr:row>8</xdr:row>
      <xdr:rowOff>196850</xdr:rowOff>
    </xdr:from>
    <xdr:to>
      <xdr:col>0</xdr:col>
      <xdr:colOff>1691640</xdr:colOff>
      <xdr:row>10</xdr:row>
      <xdr:rowOff>125730</xdr:rowOff>
    </xdr:to>
    <xdr:sp macro="" textlink="">
      <xdr:nvSpPr>
        <xdr:cNvPr id="65" name="Retângulo: Cantos Arredondados 6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E80DC6-381E-49CC-806C-B834404D1A19}"/>
            </a:ext>
          </a:extLst>
        </xdr:cNvPr>
        <xdr:cNvSpPr/>
      </xdr:nvSpPr>
      <xdr:spPr>
        <a:xfrm>
          <a:off x="266700" y="1888490"/>
          <a:ext cx="142494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274320</xdr:colOff>
      <xdr:row>11</xdr:row>
      <xdr:rowOff>35560</xdr:rowOff>
    </xdr:from>
    <xdr:to>
      <xdr:col>0</xdr:col>
      <xdr:colOff>1684020</xdr:colOff>
      <xdr:row>12</xdr:row>
      <xdr:rowOff>185420</xdr:rowOff>
    </xdr:to>
    <xdr:sp macro="" textlink="">
      <xdr:nvSpPr>
        <xdr:cNvPr id="66" name="Retângulo: Cantos Arredondados 6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4B5555-6F2F-42A2-B124-2DA41533744A}"/>
            </a:ext>
          </a:extLst>
        </xdr:cNvPr>
        <xdr:cNvSpPr/>
      </xdr:nvSpPr>
      <xdr:spPr>
        <a:xfrm>
          <a:off x="274320" y="2390140"/>
          <a:ext cx="140970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LANÇAMENTOS</a:t>
          </a:r>
        </a:p>
      </xdr:txBody>
    </xdr:sp>
    <xdr:clientData/>
  </xdr:twoCellAnchor>
  <xdr:twoCellAnchor>
    <xdr:from>
      <xdr:col>4</xdr:col>
      <xdr:colOff>198120</xdr:colOff>
      <xdr:row>23</xdr:row>
      <xdr:rowOff>163830</xdr:rowOff>
    </xdr:from>
    <xdr:to>
      <xdr:col>4</xdr:col>
      <xdr:colOff>2584874</xdr:colOff>
      <xdr:row>24</xdr:row>
      <xdr:rowOff>163830</xdr:rowOff>
    </xdr:to>
    <xdr:sp macro="" textlink="">
      <xdr:nvSpPr>
        <xdr:cNvPr id="3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42E26B-82B7-4020-839F-9B76E4F6CE3B}"/>
            </a:ext>
          </a:extLst>
        </xdr:cNvPr>
        <xdr:cNvSpPr/>
      </xdr:nvSpPr>
      <xdr:spPr>
        <a:xfrm>
          <a:off x="8420100" y="5010150"/>
          <a:ext cx="2386754" cy="220980"/>
        </a:xfrm>
        <a:prstGeom prst="roundRect">
          <a:avLst>
            <a:gd name="adj" fmla="val 50000"/>
          </a:avLst>
        </a:prstGeom>
        <a:solidFill>
          <a:srgbClr val="00206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PRÓXIMO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548640</xdr:colOff>
      <xdr:row>1</xdr:row>
      <xdr:rowOff>15240</xdr:rowOff>
    </xdr:from>
    <xdr:to>
      <xdr:col>0</xdr:col>
      <xdr:colOff>1424940</xdr:colOff>
      <xdr:row>5</xdr:row>
      <xdr:rowOff>47413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E9CD0F0-A6C5-474A-89DD-235B52F8B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98120"/>
          <a:ext cx="876300" cy="877993"/>
        </a:xfrm>
        <a:prstGeom prst="ellipse">
          <a:avLst/>
        </a:prstGeom>
        <a:effectLst>
          <a:glow>
            <a:srgbClr val="156082">
              <a:alpha val="35000"/>
            </a:srgbClr>
          </a:glow>
          <a:outerShdw blurRad="50800" dist="38100" dir="10800000" algn="r" rotWithShape="0">
            <a:prstClr val="black">
              <a:alpha val="40000"/>
            </a:prstClr>
          </a:outerShdw>
          <a:softEdge rad="0"/>
        </a:effectLst>
      </xdr:spPr>
    </xdr:pic>
    <xdr:clientData/>
  </xdr:twoCellAnchor>
  <xdr:twoCellAnchor editAs="absolute">
    <xdr:from>
      <xdr:col>0</xdr:col>
      <xdr:colOff>259080</xdr:colOff>
      <xdr:row>6</xdr:row>
      <xdr:rowOff>137160</xdr:rowOff>
    </xdr:from>
    <xdr:to>
      <xdr:col>0</xdr:col>
      <xdr:colOff>1699260</xdr:colOff>
      <xdr:row>8</xdr:row>
      <xdr:rowOff>66040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E81F8B-C10D-45EB-9158-40B9FF6A0AC8}"/>
            </a:ext>
          </a:extLst>
        </xdr:cNvPr>
        <xdr:cNvSpPr/>
      </xdr:nvSpPr>
      <xdr:spPr>
        <a:xfrm>
          <a:off x="259080" y="1386840"/>
          <a:ext cx="144018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266700</xdr:colOff>
      <xdr:row>8</xdr:row>
      <xdr:rowOff>196850</xdr:rowOff>
    </xdr:from>
    <xdr:to>
      <xdr:col>0</xdr:col>
      <xdr:colOff>1691640</xdr:colOff>
      <xdr:row>10</xdr:row>
      <xdr:rowOff>125730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243F240-27DF-4CF2-A933-B7B89F0CC133}"/>
            </a:ext>
          </a:extLst>
        </xdr:cNvPr>
        <xdr:cNvSpPr/>
      </xdr:nvSpPr>
      <xdr:spPr>
        <a:xfrm>
          <a:off x="266700" y="1888490"/>
          <a:ext cx="142494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274320</xdr:colOff>
      <xdr:row>11</xdr:row>
      <xdr:rowOff>35560</xdr:rowOff>
    </xdr:from>
    <xdr:to>
      <xdr:col>0</xdr:col>
      <xdr:colOff>1684020</xdr:colOff>
      <xdr:row>12</xdr:row>
      <xdr:rowOff>185420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A362E3-FF9A-4A3F-A01E-9AFA8EC76DE3}"/>
            </a:ext>
          </a:extLst>
        </xdr:cNvPr>
        <xdr:cNvSpPr/>
      </xdr:nvSpPr>
      <xdr:spPr>
        <a:xfrm>
          <a:off x="274320" y="2390140"/>
          <a:ext cx="140970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LANÇAMENTOS</a:t>
          </a:r>
        </a:p>
      </xdr:txBody>
    </xdr:sp>
    <xdr:clientData/>
  </xdr:twoCellAnchor>
  <xdr:twoCellAnchor>
    <xdr:from>
      <xdr:col>2</xdr:col>
      <xdr:colOff>38100</xdr:colOff>
      <xdr:row>29</xdr:row>
      <xdr:rowOff>7620</xdr:rowOff>
    </xdr:from>
    <xdr:to>
      <xdr:col>3</xdr:col>
      <xdr:colOff>504614</xdr:colOff>
      <xdr:row>30</xdr:row>
      <xdr:rowOff>38100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5A9653-B309-4223-896A-F56E232D5653}"/>
            </a:ext>
          </a:extLst>
        </xdr:cNvPr>
        <xdr:cNvSpPr/>
      </xdr:nvSpPr>
      <xdr:spPr>
        <a:xfrm>
          <a:off x="3025140" y="6065520"/>
          <a:ext cx="2249594" cy="213360"/>
        </a:xfrm>
        <a:prstGeom prst="roundRect">
          <a:avLst>
            <a:gd name="adj" fmla="val 50000"/>
          </a:avLst>
        </a:prstGeom>
        <a:solidFill>
          <a:srgbClr val="00206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ANTERIOR</a:t>
          </a:r>
        </a:p>
      </xdr:txBody>
    </xdr:sp>
    <xdr:clientData/>
  </xdr:twoCellAnchor>
  <xdr:twoCellAnchor>
    <xdr:from>
      <xdr:col>5</xdr:col>
      <xdr:colOff>1104900</xdr:colOff>
      <xdr:row>29</xdr:row>
      <xdr:rowOff>7620</xdr:rowOff>
    </xdr:from>
    <xdr:to>
      <xdr:col>8</xdr:col>
      <xdr:colOff>306494</xdr:colOff>
      <xdr:row>30</xdr:row>
      <xdr:rowOff>38100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0925BD-9AA1-4983-A2EA-6F695238F233}"/>
            </a:ext>
          </a:extLst>
        </xdr:cNvPr>
        <xdr:cNvSpPr/>
      </xdr:nvSpPr>
      <xdr:spPr>
        <a:xfrm>
          <a:off x="8199120" y="6065520"/>
          <a:ext cx="2249594" cy="213360"/>
        </a:xfrm>
        <a:prstGeom prst="roundRect">
          <a:avLst>
            <a:gd name="adj" fmla="val 50000"/>
          </a:avLst>
        </a:prstGeom>
        <a:solidFill>
          <a:srgbClr val="00206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PRÓXIMO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548640</xdr:colOff>
      <xdr:row>1</xdr:row>
      <xdr:rowOff>15240</xdr:rowOff>
    </xdr:from>
    <xdr:to>
      <xdr:col>0</xdr:col>
      <xdr:colOff>1424940</xdr:colOff>
      <xdr:row>5</xdr:row>
      <xdr:rowOff>47413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08726BB-0C2A-44BC-B2CB-75BF8888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98120"/>
          <a:ext cx="876300" cy="877993"/>
        </a:xfrm>
        <a:prstGeom prst="ellipse">
          <a:avLst/>
        </a:prstGeom>
        <a:effectLst>
          <a:glow>
            <a:srgbClr val="156082">
              <a:alpha val="35000"/>
            </a:srgbClr>
          </a:glow>
          <a:outerShdw blurRad="50800" dist="38100" dir="10800000" algn="r" rotWithShape="0">
            <a:prstClr val="black">
              <a:alpha val="40000"/>
            </a:prstClr>
          </a:outerShdw>
          <a:softEdge rad="0"/>
        </a:effectLst>
      </xdr:spPr>
    </xdr:pic>
    <xdr:clientData/>
  </xdr:twoCellAnchor>
  <xdr:twoCellAnchor editAs="absolute">
    <xdr:from>
      <xdr:col>0</xdr:col>
      <xdr:colOff>259080</xdr:colOff>
      <xdr:row>6</xdr:row>
      <xdr:rowOff>137160</xdr:rowOff>
    </xdr:from>
    <xdr:to>
      <xdr:col>0</xdr:col>
      <xdr:colOff>1699260</xdr:colOff>
      <xdr:row>8</xdr:row>
      <xdr:rowOff>66040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04065A-4849-42EC-B22F-B1243AE358B5}"/>
            </a:ext>
          </a:extLst>
        </xdr:cNvPr>
        <xdr:cNvSpPr/>
      </xdr:nvSpPr>
      <xdr:spPr>
        <a:xfrm>
          <a:off x="259080" y="1386840"/>
          <a:ext cx="144018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266700</xdr:colOff>
      <xdr:row>8</xdr:row>
      <xdr:rowOff>196850</xdr:rowOff>
    </xdr:from>
    <xdr:to>
      <xdr:col>0</xdr:col>
      <xdr:colOff>1691640</xdr:colOff>
      <xdr:row>10</xdr:row>
      <xdr:rowOff>125730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705B4A-3A70-4669-A8F0-F732F2F3D83A}"/>
            </a:ext>
          </a:extLst>
        </xdr:cNvPr>
        <xdr:cNvSpPr/>
      </xdr:nvSpPr>
      <xdr:spPr>
        <a:xfrm>
          <a:off x="266700" y="1888490"/>
          <a:ext cx="142494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274320</xdr:colOff>
      <xdr:row>11</xdr:row>
      <xdr:rowOff>35560</xdr:rowOff>
    </xdr:from>
    <xdr:to>
      <xdr:col>0</xdr:col>
      <xdr:colOff>1684020</xdr:colOff>
      <xdr:row>12</xdr:row>
      <xdr:rowOff>185420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CBA368-DDC0-4A3D-B41E-47AAB554E030}"/>
            </a:ext>
          </a:extLst>
        </xdr:cNvPr>
        <xdr:cNvSpPr/>
      </xdr:nvSpPr>
      <xdr:spPr>
        <a:xfrm>
          <a:off x="274320" y="2390140"/>
          <a:ext cx="1409700" cy="370840"/>
        </a:xfrm>
        <a:prstGeom prst="roundRect">
          <a:avLst>
            <a:gd name="adj" fmla="val 50000"/>
          </a:avLst>
        </a:prstGeom>
        <a:solidFill>
          <a:srgbClr val="00206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ADLaM Display" panose="02010000000000000000" pitchFamily="2" charset="0"/>
              <a:cs typeface="Aharoni" panose="020F0502020204030204" pitchFamily="2" charset="-79"/>
            </a:rPr>
            <a:t>LANÇAMENTOS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3</xdr:col>
      <xdr:colOff>1236134</xdr:colOff>
      <xdr:row>30</xdr:row>
      <xdr:rowOff>30480</xdr:rowOff>
    </xdr:to>
    <xdr:sp macro="" textlink="">
      <xdr:nvSpPr>
        <xdr:cNvPr id="3" name="Retângulo: Cantos Arredondados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C73EDA-5B13-4254-890E-51DA6CAE4B57}"/>
            </a:ext>
          </a:extLst>
        </xdr:cNvPr>
        <xdr:cNvSpPr/>
      </xdr:nvSpPr>
      <xdr:spPr>
        <a:xfrm>
          <a:off x="2987040" y="5684520"/>
          <a:ext cx="2249594" cy="213360"/>
        </a:xfrm>
        <a:prstGeom prst="roundRect">
          <a:avLst>
            <a:gd name="adj" fmla="val 50000"/>
          </a:avLst>
        </a:prstGeom>
        <a:solidFill>
          <a:srgbClr val="002060"/>
        </a:solidFill>
        <a:ln w="25400" cap="flat" cmpd="sng" algn="ctr">
          <a:solidFill>
            <a:srgbClr val="4F81BD">
              <a:shade val="15000"/>
            </a:srgbClr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ANTERIOR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NAROSA@EMAIL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724F-5439-473A-8056-AD72424C1DD9}">
  <sheetPr codeName="Planilha1">
    <tabColor rgb="FF002060"/>
  </sheetPr>
  <dimension ref="A1:A25"/>
  <sheetViews>
    <sheetView showGridLines="0" workbookViewId="0"/>
  </sheetViews>
  <sheetFormatPr defaultColWidth="0" defaultRowHeight="14.4" x14ac:dyDescent="0.3"/>
  <cols>
    <col min="1" max="1" width="61.109375" customWidth="1"/>
    <col min="2" max="16384" width="55" hidden="1"/>
  </cols>
  <sheetData>
    <row r="1" spans="1:1" ht="17.399999999999999" customHeight="1" x14ac:dyDescent="0.3">
      <c r="A1" s="24"/>
    </row>
    <row r="2" spans="1:1" ht="17.399999999999999" customHeight="1" x14ac:dyDescent="0.3">
      <c r="A2" s="24"/>
    </row>
    <row r="3" spans="1:1" ht="17.399999999999999" customHeight="1" x14ac:dyDescent="0.3">
      <c r="A3" s="24"/>
    </row>
    <row r="4" spans="1:1" ht="17.399999999999999" customHeight="1" x14ac:dyDescent="0.3">
      <c r="A4" s="24"/>
    </row>
    <row r="5" spans="1:1" ht="17.399999999999999" customHeight="1" x14ac:dyDescent="0.3">
      <c r="A5" s="24"/>
    </row>
    <row r="6" spans="1:1" ht="17.399999999999999" customHeight="1" x14ac:dyDescent="0.3">
      <c r="A6" s="24"/>
    </row>
    <row r="7" spans="1:1" ht="17.399999999999999" customHeight="1" x14ac:dyDescent="0.3">
      <c r="A7" s="32" t="s">
        <v>110</v>
      </c>
    </row>
    <row r="8" spans="1:1" ht="17.399999999999999" customHeight="1" x14ac:dyDescent="0.3">
      <c r="A8" s="24"/>
    </row>
    <row r="9" spans="1:1" ht="17.399999999999999" customHeight="1" x14ac:dyDescent="0.3">
      <c r="A9" s="24"/>
    </row>
    <row r="10" spans="1:1" ht="17.399999999999999" customHeight="1" x14ac:dyDescent="0.3">
      <c r="A10" s="24"/>
    </row>
    <row r="11" spans="1:1" ht="17.399999999999999" customHeight="1" x14ac:dyDescent="0.3">
      <c r="A11" s="24"/>
    </row>
    <row r="12" spans="1:1" ht="17.399999999999999" customHeight="1" x14ac:dyDescent="0.3">
      <c r="A12" s="24"/>
    </row>
    <row r="13" spans="1:1" ht="17.399999999999999" customHeight="1" x14ac:dyDescent="0.3">
      <c r="A13" s="24"/>
    </row>
    <row r="14" spans="1:1" ht="17.399999999999999" customHeight="1" x14ac:dyDescent="0.3">
      <c r="A14" s="24"/>
    </row>
    <row r="15" spans="1:1" ht="17.399999999999999" customHeight="1" x14ac:dyDescent="0.3">
      <c r="A15" s="24"/>
    </row>
    <row r="16" spans="1:1" ht="17.399999999999999" customHeight="1" x14ac:dyDescent="0.3">
      <c r="A16" s="24"/>
    </row>
    <row r="17" spans="1:1" ht="17.399999999999999" customHeight="1" x14ac:dyDescent="0.3">
      <c r="A17" s="24"/>
    </row>
    <row r="18" spans="1:1" ht="17.399999999999999" customHeight="1" x14ac:dyDescent="0.3">
      <c r="A18" s="24"/>
    </row>
    <row r="19" spans="1:1" ht="17.399999999999999" customHeight="1" x14ac:dyDescent="0.3">
      <c r="A19" s="24"/>
    </row>
    <row r="20" spans="1:1" ht="17.399999999999999" customHeight="1" x14ac:dyDescent="0.3">
      <c r="A20" s="24"/>
    </row>
    <row r="21" spans="1:1" ht="17.399999999999999" customHeight="1" x14ac:dyDescent="0.3">
      <c r="A21" s="24"/>
    </row>
    <row r="22" spans="1:1" ht="17.399999999999999" customHeight="1" x14ac:dyDescent="0.3">
      <c r="A22" s="24"/>
    </row>
    <row r="23" spans="1:1" ht="17.399999999999999" customHeight="1" x14ac:dyDescent="0.3">
      <c r="A23" s="24"/>
    </row>
    <row r="24" spans="1:1" ht="17.399999999999999" customHeight="1" x14ac:dyDescent="0.3">
      <c r="A24" s="24"/>
    </row>
    <row r="25" spans="1:1" ht="17.399999999999999" customHeight="1" x14ac:dyDescent="0.3">
      <c r="A25" s="2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C5CC-D8FA-4818-B3F6-5B4A7944F88B}">
  <sheetPr codeName="Planilha2">
    <tabColor theme="0" tint="-0.249977111117893"/>
  </sheetPr>
  <dimension ref="A1:G27"/>
  <sheetViews>
    <sheetView showGridLines="0" workbookViewId="0"/>
  </sheetViews>
  <sheetFormatPr defaultColWidth="0" defaultRowHeight="14.4" x14ac:dyDescent="0.3"/>
  <cols>
    <col min="1" max="1" width="28.77734375" customWidth="1"/>
    <col min="2" max="2" width="14.77734375" customWidth="1"/>
    <col min="3" max="3" width="38.21875" bestFit="1" customWidth="1"/>
    <col min="4" max="5" width="38.109375" customWidth="1"/>
    <col min="6" max="7" width="0" hidden="1" customWidth="1"/>
    <col min="8" max="16384" width="8.88671875" hidden="1"/>
  </cols>
  <sheetData>
    <row r="1" spans="1:5" x14ac:dyDescent="0.3">
      <c r="A1" s="2"/>
    </row>
    <row r="2" spans="1:5" x14ac:dyDescent="0.3">
      <c r="A2" s="2"/>
    </row>
    <row r="3" spans="1:5" ht="17.399999999999999" customHeight="1" x14ac:dyDescent="0.3">
      <c r="A3" s="2"/>
      <c r="C3" s="35" t="s">
        <v>18</v>
      </c>
      <c r="D3" s="35"/>
      <c r="E3" s="35"/>
    </row>
    <row r="4" spans="1:5" ht="17.399999999999999" customHeight="1" x14ac:dyDescent="0.3">
      <c r="A4" s="2"/>
      <c r="C4" s="37" t="s">
        <v>0</v>
      </c>
      <c r="D4" s="37"/>
      <c r="E4" s="37"/>
    </row>
    <row r="5" spans="1:5" ht="17.399999999999999" customHeight="1" x14ac:dyDescent="0.3">
      <c r="A5" s="2"/>
      <c r="C5" s="38"/>
      <c r="D5" s="38"/>
      <c r="E5" s="38"/>
    </row>
    <row r="6" spans="1:5" ht="17.399999999999999" customHeight="1" x14ac:dyDescent="0.3">
      <c r="A6" s="2"/>
      <c r="C6" s="13" t="s">
        <v>1</v>
      </c>
      <c r="D6" s="13" t="s">
        <v>2</v>
      </c>
      <c r="E6" s="13" t="s">
        <v>3</v>
      </c>
    </row>
    <row r="7" spans="1:5" ht="17.399999999999999" customHeight="1" x14ac:dyDescent="0.3">
      <c r="A7" s="2"/>
      <c r="C7" s="15" t="s">
        <v>4</v>
      </c>
      <c r="D7" s="10" t="s">
        <v>111</v>
      </c>
      <c r="E7" s="7" t="str">
        <f>IF(D7="","Faltam dados","Preenchido")</f>
        <v>Preenchido</v>
      </c>
    </row>
    <row r="8" spans="1:5" ht="17.399999999999999" customHeight="1" x14ac:dyDescent="0.3">
      <c r="A8" s="2"/>
      <c r="C8" s="15" t="s">
        <v>5</v>
      </c>
      <c r="D8" s="9" t="s">
        <v>112</v>
      </c>
      <c r="E8" s="7" t="str">
        <f t="shared" ref="E8:E21" si="0">IF(D8="","Faltam dados","Preenchido")</f>
        <v>Preenchido</v>
      </c>
    </row>
    <row r="9" spans="1:5" ht="17.399999999999999" customHeight="1" x14ac:dyDescent="0.3">
      <c r="A9" s="2"/>
      <c r="C9" s="15" t="s">
        <v>6</v>
      </c>
      <c r="D9" s="10" t="s">
        <v>113</v>
      </c>
      <c r="E9" s="7" t="str">
        <f t="shared" si="0"/>
        <v>Preenchido</v>
      </c>
    </row>
    <row r="10" spans="1:5" ht="17.399999999999999" customHeight="1" x14ac:dyDescent="0.3">
      <c r="A10" s="2"/>
      <c r="C10" s="15" t="s">
        <v>7</v>
      </c>
      <c r="D10" s="30">
        <v>44197</v>
      </c>
      <c r="E10" s="7" t="str">
        <f t="shared" si="0"/>
        <v>Preenchido</v>
      </c>
    </row>
    <row r="11" spans="1:5" ht="17.399999999999999" customHeight="1" x14ac:dyDescent="0.3">
      <c r="A11" s="2"/>
      <c r="C11" s="15" t="s">
        <v>8</v>
      </c>
      <c r="D11" s="10" t="s">
        <v>114</v>
      </c>
      <c r="E11" s="7" t="str">
        <f t="shared" si="0"/>
        <v>Preenchido</v>
      </c>
    </row>
    <row r="12" spans="1:5" ht="17.399999999999999" customHeight="1" x14ac:dyDescent="0.3">
      <c r="A12" s="2"/>
      <c r="C12" s="15" t="s">
        <v>9</v>
      </c>
      <c r="D12" s="10" t="s">
        <v>115</v>
      </c>
      <c r="E12" s="7" t="str">
        <f t="shared" si="0"/>
        <v>Preenchido</v>
      </c>
    </row>
    <row r="13" spans="1:5" ht="17.399999999999999" customHeight="1" x14ac:dyDescent="0.3">
      <c r="A13" s="2"/>
      <c r="C13" s="15" t="s">
        <v>10</v>
      </c>
      <c r="D13" s="10" t="s">
        <v>119</v>
      </c>
      <c r="E13" s="7" t="str">
        <f t="shared" si="0"/>
        <v>Preenchido</v>
      </c>
    </row>
    <row r="14" spans="1:5" ht="17.399999999999999" customHeight="1" x14ac:dyDescent="0.3">
      <c r="A14" s="2"/>
      <c r="C14" s="15" t="s">
        <v>116</v>
      </c>
      <c r="D14" s="10" t="s">
        <v>120</v>
      </c>
      <c r="E14" s="7" t="str">
        <f t="shared" si="0"/>
        <v>Preenchido</v>
      </c>
    </row>
    <row r="15" spans="1:5" ht="17.399999999999999" customHeight="1" x14ac:dyDescent="0.3">
      <c r="A15" s="2"/>
      <c r="C15" s="15" t="s">
        <v>11</v>
      </c>
      <c r="D15" s="6" t="s">
        <v>141</v>
      </c>
      <c r="E15" s="7" t="str">
        <f t="shared" si="0"/>
        <v>Preenchido</v>
      </c>
    </row>
    <row r="16" spans="1:5" ht="17.399999999999999" customHeight="1" x14ac:dyDescent="0.3">
      <c r="A16" s="2"/>
      <c r="C16" s="15" t="s">
        <v>12</v>
      </c>
      <c r="D16" s="11" t="s">
        <v>117</v>
      </c>
      <c r="E16" s="7" t="str">
        <f t="shared" si="0"/>
        <v>Preenchido</v>
      </c>
    </row>
    <row r="17" spans="1:5" ht="17.399999999999999" customHeight="1" x14ac:dyDescent="0.3">
      <c r="A17" s="2"/>
      <c r="C17" s="16" t="s">
        <v>13</v>
      </c>
      <c r="D17" s="6" t="s">
        <v>118</v>
      </c>
      <c r="E17" s="7" t="str">
        <f t="shared" si="0"/>
        <v>Preenchido</v>
      </c>
    </row>
    <row r="18" spans="1:5" ht="17.399999999999999" customHeight="1" x14ac:dyDescent="0.3">
      <c r="A18" s="2"/>
      <c r="C18" s="15" t="s">
        <v>14</v>
      </c>
      <c r="D18" s="31" t="s">
        <v>121</v>
      </c>
      <c r="E18" s="7" t="str">
        <f t="shared" si="0"/>
        <v>Preenchido</v>
      </c>
    </row>
    <row r="19" spans="1:5" ht="17.399999999999999" customHeight="1" x14ac:dyDescent="0.3">
      <c r="A19" s="2"/>
      <c r="C19" s="15" t="s">
        <v>15</v>
      </c>
      <c r="D19" s="6" t="s">
        <v>122</v>
      </c>
      <c r="E19" s="7" t="str">
        <f t="shared" si="0"/>
        <v>Preenchido</v>
      </c>
    </row>
    <row r="20" spans="1:5" ht="17.399999999999999" customHeight="1" x14ac:dyDescent="0.3">
      <c r="A20" s="2"/>
      <c r="C20" s="15" t="s">
        <v>16</v>
      </c>
      <c r="D20" s="10">
        <v>1</v>
      </c>
      <c r="E20" s="7" t="str">
        <f t="shared" si="0"/>
        <v>Preenchido</v>
      </c>
    </row>
    <row r="21" spans="1:5" ht="17.399999999999999" customHeight="1" x14ac:dyDescent="0.3">
      <c r="A21" s="29" t="s">
        <v>138</v>
      </c>
      <c r="B21" s="34"/>
      <c r="C21" s="15" t="s">
        <v>17</v>
      </c>
      <c r="D21" s="6" t="s">
        <v>122</v>
      </c>
      <c r="E21" s="7" t="str">
        <f t="shared" si="0"/>
        <v>Preenchido</v>
      </c>
    </row>
    <row r="22" spans="1:5" s="1" customFormat="1" ht="4.95" customHeight="1" x14ac:dyDescent="0.3">
      <c r="A22" s="2"/>
      <c r="B22"/>
      <c r="C22" s="2"/>
      <c r="D22" s="2"/>
      <c r="E22" s="2"/>
    </row>
    <row r="23" spans="1:5" ht="17.399999999999999" customHeight="1" x14ac:dyDescent="0.3">
      <c r="C23" s="23"/>
      <c r="D23" s="39"/>
      <c r="E23" s="39"/>
    </row>
    <row r="24" spans="1:5" ht="17.399999999999999" customHeight="1" x14ac:dyDescent="0.3">
      <c r="C24" s="23"/>
      <c r="D24" s="22"/>
      <c r="E24" s="22"/>
    </row>
    <row r="25" spans="1:5" x14ac:dyDescent="0.3">
      <c r="C25" s="8"/>
      <c r="D25" s="5"/>
    </row>
    <row r="26" spans="1:5" x14ac:dyDescent="0.3">
      <c r="C26" s="8"/>
      <c r="D26" s="5"/>
    </row>
    <row r="27" spans="1:5" ht="19.8" x14ac:dyDescent="0.3">
      <c r="C27" s="33"/>
    </row>
  </sheetData>
  <mergeCells count="3">
    <mergeCell ref="C3:E3"/>
    <mergeCell ref="C4:E5"/>
    <mergeCell ref="D23:E23"/>
  </mergeCells>
  <conditionalFormatting sqref="E7:E21">
    <cfRule type="cellIs" dxfId="3" priority="1" operator="equal">
      <formula>"Faltam dados"</formula>
    </cfRule>
  </conditionalFormatting>
  <dataValidations count="3">
    <dataValidation type="list" allowBlank="1" showInputMessage="1" showErrorMessage="1" sqref="D19" xr:uid="{892AE970-194A-4306-9F93-5680D4D063EA}">
      <formula1>"Sim, Não"</formula1>
    </dataValidation>
    <dataValidation type="list" allowBlank="1" showInputMessage="1" showErrorMessage="1" sqref="D20" xr:uid="{EECE5B5C-B706-448D-816D-EFE3BD20F144}">
      <formula1>"Não,1,2,3,4,5,6,7,8,9,10"</formula1>
    </dataValidation>
    <dataValidation type="list" allowBlank="1" showInputMessage="1" showErrorMessage="1" sqref="D21" xr:uid="{1D15302D-D4F9-45AE-9E34-70FCA99760B7}">
      <formula1>"Sim,Não"</formula1>
    </dataValidation>
  </dataValidations>
  <hyperlinks>
    <hyperlink ref="D18" r:id="rId1" xr:uid="{7EB5C6AA-D48D-4218-A873-FE3474DCBB84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7429-59E2-476C-8F5A-A44AE505F8E6}">
  <sheetPr>
    <tabColor theme="0" tint="-0.249977111117893"/>
  </sheetPr>
  <dimension ref="A1:J26"/>
  <sheetViews>
    <sheetView showGridLines="0" tabSelected="1" workbookViewId="0">
      <selection activeCell="I12" sqref="I12"/>
    </sheetView>
  </sheetViews>
  <sheetFormatPr defaultColWidth="0" defaultRowHeight="14.4" x14ac:dyDescent="0.3"/>
  <cols>
    <col min="1" max="1" width="28.77734375" customWidth="1"/>
    <col min="2" max="2" width="14.77734375" customWidth="1"/>
    <col min="3" max="3" width="30.33203125" bestFit="1" customWidth="1"/>
    <col min="4" max="4" width="14.33203125" bestFit="1" customWidth="1"/>
    <col min="5" max="5" width="19.5546875" bestFit="1" customWidth="1"/>
    <col min="6" max="6" width="18" bestFit="1" customWidth="1"/>
    <col min="7" max="7" width="15.88671875" bestFit="1" customWidth="1"/>
    <col min="8" max="8" width="10.5546875" bestFit="1" customWidth="1"/>
    <col min="9" max="9" width="11.77734375" bestFit="1" customWidth="1"/>
    <col min="10" max="10" width="0" hidden="1" customWidth="1"/>
    <col min="11" max="16384" width="8.88671875" hidden="1"/>
  </cols>
  <sheetData>
    <row r="1" spans="1:9" x14ac:dyDescent="0.3">
      <c r="A1" s="2"/>
    </row>
    <row r="2" spans="1:9" x14ac:dyDescent="0.3">
      <c r="A2" s="2"/>
    </row>
    <row r="3" spans="1:9" ht="17.399999999999999" customHeight="1" x14ac:dyDescent="0.3">
      <c r="A3" s="2"/>
      <c r="C3" s="35" t="s">
        <v>33</v>
      </c>
      <c r="D3" s="35"/>
      <c r="E3" s="35"/>
      <c r="F3" s="35"/>
      <c r="G3" s="35"/>
      <c r="H3" s="35"/>
      <c r="I3" s="35"/>
    </row>
    <row r="4" spans="1:9" ht="17.399999999999999" customHeight="1" x14ac:dyDescent="0.3">
      <c r="A4" s="2"/>
      <c r="C4" s="36" t="s">
        <v>19</v>
      </c>
      <c r="D4" s="36"/>
      <c r="E4" s="36"/>
      <c r="F4" s="36"/>
      <c r="G4" s="36"/>
      <c r="H4" s="36"/>
      <c r="I4" s="36"/>
    </row>
    <row r="5" spans="1:9" ht="17.399999999999999" customHeight="1" x14ac:dyDescent="0.3">
      <c r="A5" s="2"/>
      <c r="C5" s="36"/>
      <c r="D5" s="36"/>
      <c r="E5" s="36"/>
      <c r="F5" s="36"/>
      <c r="G5" s="36"/>
      <c r="H5" s="36"/>
      <c r="I5" s="36"/>
    </row>
    <row r="6" spans="1:9" ht="17.399999999999999" customHeight="1" x14ac:dyDescent="0.3">
      <c r="A6" s="2"/>
      <c r="C6" s="13" t="s">
        <v>20</v>
      </c>
      <c r="D6" s="13" t="s">
        <v>21</v>
      </c>
      <c r="E6" s="13" t="s">
        <v>26</v>
      </c>
      <c r="F6" s="13" t="s">
        <v>22</v>
      </c>
      <c r="G6" s="13" t="s">
        <v>23</v>
      </c>
      <c r="H6" s="13" t="s">
        <v>25</v>
      </c>
      <c r="I6" s="13" t="s">
        <v>24</v>
      </c>
    </row>
    <row r="7" spans="1:9" ht="17.399999999999999" customHeight="1" x14ac:dyDescent="0.3">
      <c r="A7" s="2"/>
      <c r="C7" s="17" t="s">
        <v>60</v>
      </c>
      <c r="D7" s="17" t="s">
        <v>55</v>
      </c>
      <c r="E7" s="17">
        <v>1000</v>
      </c>
      <c r="F7" s="17">
        <v>45000</v>
      </c>
      <c r="G7" s="17">
        <v>3200</v>
      </c>
      <c r="H7" s="17" t="s">
        <v>123</v>
      </c>
      <c r="I7" s="7" t="str">
        <f>IF(COUNTA(C7:H7)=0,"",IF(OR(C7="",D7="",E7="",F7="",G7="",H7=""),"Faltam dados","Registrado"))</f>
        <v>Registrado</v>
      </c>
    </row>
    <row r="8" spans="1:9" ht="17.399999999999999" customHeight="1" x14ac:dyDescent="0.3">
      <c r="A8" s="2"/>
      <c r="C8" s="17" t="s">
        <v>62</v>
      </c>
      <c r="D8" s="17" t="s">
        <v>56</v>
      </c>
      <c r="E8" s="17">
        <v>40000</v>
      </c>
      <c r="F8" s="17">
        <v>2500</v>
      </c>
      <c r="G8" s="17">
        <v>0</v>
      </c>
      <c r="H8" s="17" t="s">
        <v>124</v>
      </c>
      <c r="I8" s="7" t="str">
        <f t="shared" ref="I8:I24" si="0">IF(COUNTA(C8:H8)=0,"",IF(OR(C8="",D8="",E8="",F8="",G8="",H8=""),"Faltam dados","Registrado"))</f>
        <v>Registrado</v>
      </c>
    </row>
    <row r="9" spans="1:9" ht="17.399999999999999" customHeight="1" x14ac:dyDescent="0.3">
      <c r="A9" s="2"/>
      <c r="C9" s="17" t="s">
        <v>69</v>
      </c>
      <c r="D9" s="17" t="s">
        <v>57</v>
      </c>
      <c r="E9" s="17">
        <v>6000</v>
      </c>
      <c r="F9" s="17">
        <v>800</v>
      </c>
      <c r="G9" s="17">
        <v>123</v>
      </c>
      <c r="H9" s="17" t="s">
        <v>125</v>
      </c>
      <c r="I9" s="7" t="str">
        <f t="shared" si="0"/>
        <v>Registrado</v>
      </c>
    </row>
    <row r="10" spans="1:9" ht="17.399999999999999" customHeight="1" x14ac:dyDescent="0.3">
      <c r="A10" s="2"/>
      <c r="C10" s="17" t="s">
        <v>67</v>
      </c>
      <c r="D10" s="17" t="s">
        <v>58</v>
      </c>
      <c r="E10" s="17">
        <v>12500</v>
      </c>
      <c r="F10" s="17">
        <v>745</v>
      </c>
      <c r="G10" s="17">
        <v>0</v>
      </c>
      <c r="H10" s="17" t="s">
        <v>126</v>
      </c>
      <c r="I10" s="7" t="str">
        <f t="shared" si="0"/>
        <v>Registrado</v>
      </c>
    </row>
    <row r="11" spans="1:9" ht="17.399999999999999" customHeight="1" x14ac:dyDescent="0.3">
      <c r="A11" s="2"/>
      <c r="C11" s="17" t="s">
        <v>64</v>
      </c>
      <c r="D11" s="17" t="s">
        <v>59</v>
      </c>
      <c r="E11" s="17">
        <v>1500</v>
      </c>
      <c r="F11" s="17">
        <v>124</v>
      </c>
      <c r="G11" s="17">
        <v>0</v>
      </c>
      <c r="H11" s="17" t="s">
        <v>127</v>
      </c>
      <c r="I11" s="7" t="str">
        <f>IF(COUNTA(C11:H11)=0,"",IF(OR(C11="",D11="",E11="",F11="",G11="",H11=""),"Faltam dados","Registrado"))</f>
        <v>Registrado</v>
      </c>
    </row>
    <row r="12" spans="1:9" ht="17.399999999999999" customHeight="1" x14ac:dyDescent="0.3">
      <c r="A12" s="2"/>
      <c r="C12" s="17"/>
      <c r="D12" s="17"/>
      <c r="E12" s="17"/>
      <c r="F12" s="17"/>
      <c r="G12" s="17"/>
      <c r="H12" s="17"/>
      <c r="I12" s="7" t="str">
        <f t="shared" si="0"/>
        <v/>
      </c>
    </row>
    <row r="13" spans="1:9" ht="17.399999999999999" customHeight="1" x14ac:dyDescent="0.3">
      <c r="A13" s="2"/>
      <c r="C13" s="17"/>
      <c r="D13" s="17"/>
      <c r="E13" s="17"/>
      <c r="F13" s="17"/>
      <c r="G13" s="17"/>
      <c r="H13" s="17"/>
      <c r="I13" s="7" t="str">
        <f t="shared" si="0"/>
        <v/>
      </c>
    </row>
    <row r="14" spans="1:9" ht="17.399999999999999" customHeight="1" x14ac:dyDescent="0.3">
      <c r="A14" s="2"/>
      <c r="C14" s="17"/>
      <c r="D14" s="17"/>
      <c r="E14" s="17"/>
      <c r="F14" s="17"/>
      <c r="G14" s="17"/>
      <c r="H14" s="17"/>
      <c r="I14" s="7" t="str">
        <f t="shared" si="0"/>
        <v/>
      </c>
    </row>
    <row r="15" spans="1:9" ht="17.399999999999999" customHeight="1" x14ac:dyDescent="0.3">
      <c r="A15" s="2"/>
      <c r="C15" s="17"/>
      <c r="D15" s="17"/>
      <c r="E15" s="17"/>
      <c r="F15" s="17"/>
      <c r="G15" s="17"/>
      <c r="H15" s="17"/>
      <c r="I15" s="7" t="str">
        <f t="shared" si="0"/>
        <v/>
      </c>
    </row>
    <row r="16" spans="1:9" ht="17.399999999999999" customHeight="1" x14ac:dyDescent="0.3">
      <c r="A16" s="2"/>
      <c r="C16" s="17"/>
      <c r="D16" s="17"/>
      <c r="E16" s="17"/>
      <c r="F16" s="17"/>
      <c r="G16" s="17"/>
      <c r="H16" s="17"/>
      <c r="I16" s="7" t="str">
        <f t="shared" si="0"/>
        <v/>
      </c>
    </row>
    <row r="17" spans="1:9" ht="17.399999999999999" customHeight="1" x14ac:dyDescent="0.3">
      <c r="A17" s="2"/>
      <c r="C17" s="17"/>
      <c r="D17" s="17"/>
      <c r="E17" s="17"/>
      <c r="F17" s="17"/>
      <c r="G17" s="17"/>
      <c r="H17" s="17"/>
      <c r="I17" s="7" t="str">
        <f t="shared" si="0"/>
        <v/>
      </c>
    </row>
    <row r="18" spans="1:9" ht="17.399999999999999" customHeight="1" x14ac:dyDescent="0.3">
      <c r="A18" s="2"/>
      <c r="C18" s="17"/>
      <c r="D18" s="17"/>
      <c r="E18" s="17"/>
      <c r="F18" s="17"/>
      <c r="G18" s="17"/>
      <c r="H18" s="17"/>
      <c r="I18" s="7" t="str">
        <f t="shared" si="0"/>
        <v/>
      </c>
    </row>
    <row r="19" spans="1:9" ht="17.399999999999999" customHeight="1" x14ac:dyDescent="0.3">
      <c r="A19" s="2"/>
      <c r="C19" s="17"/>
      <c r="D19" s="17"/>
      <c r="E19" s="17"/>
      <c r="F19" s="17"/>
      <c r="G19" s="17"/>
      <c r="H19" s="17"/>
      <c r="I19" s="7" t="str">
        <f t="shared" si="0"/>
        <v/>
      </c>
    </row>
    <row r="20" spans="1:9" ht="17.399999999999999" customHeight="1" x14ac:dyDescent="0.3">
      <c r="A20" s="2"/>
      <c r="C20" s="17"/>
      <c r="D20" s="17"/>
      <c r="E20" s="17"/>
      <c r="F20" s="17"/>
      <c r="G20" s="17"/>
      <c r="H20" s="17"/>
      <c r="I20" s="7" t="str">
        <f t="shared" si="0"/>
        <v/>
      </c>
    </row>
    <row r="21" spans="1:9" ht="17.399999999999999" customHeight="1" x14ac:dyDescent="0.3">
      <c r="A21" s="2"/>
      <c r="C21" s="17"/>
      <c r="D21" s="17"/>
      <c r="E21" s="17"/>
      <c r="F21" s="17"/>
      <c r="G21" s="17"/>
      <c r="H21" s="17"/>
      <c r="I21" s="7" t="str">
        <f t="shared" si="0"/>
        <v/>
      </c>
    </row>
    <row r="22" spans="1:9" ht="17.399999999999999" customHeight="1" x14ac:dyDescent="0.3">
      <c r="A22" s="2"/>
      <c r="C22" s="17"/>
      <c r="D22" s="17"/>
      <c r="E22" s="17"/>
      <c r="F22" s="17"/>
      <c r="G22" s="17"/>
      <c r="H22" s="17"/>
      <c r="I22" s="7" t="str">
        <f t="shared" si="0"/>
        <v/>
      </c>
    </row>
    <row r="23" spans="1:9" ht="17.399999999999999" customHeight="1" x14ac:dyDescent="0.3">
      <c r="A23" s="2"/>
      <c r="C23" s="17"/>
      <c r="D23" s="17"/>
      <c r="E23" s="17"/>
      <c r="F23" s="17"/>
      <c r="G23" s="17"/>
      <c r="H23" s="17"/>
      <c r="I23" s="7" t="str">
        <f t="shared" si="0"/>
        <v/>
      </c>
    </row>
    <row r="24" spans="1:9" ht="17.399999999999999" customHeight="1" x14ac:dyDescent="0.3">
      <c r="A24" s="2"/>
      <c r="C24" s="17"/>
      <c r="D24" s="17"/>
      <c r="E24" s="17"/>
      <c r="F24" s="17"/>
      <c r="G24" s="17"/>
      <c r="H24" s="17"/>
      <c r="I24" s="7" t="str">
        <f t="shared" si="0"/>
        <v/>
      </c>
    </row>
    <row r="25" spans="1:9" ht="17.399999999999999" customHeight="1" x14ac:dyDescent="0.3">
      <c r="A25" s="29" t="s">
        <v>138</v>
      </c>
      <c r="B25" s="34"/>
      <c r="C25" s="7" t="s">
        <v>27</v>
      </c>
      <c r="D25" s="7"/>
      <c r="E25" s="18">
        <f>SUM(E7:E24)</f>
        <v>61000</v>
      </c>
      <c r="F25" s="18">
        <f>SUM(F7:F24)</f>
        <v>49169</v>
      </c>
      <c r="G25" s="18">
        <f>SUM(G7:G24)</f>
        <v>3323</v>
      </c>
      <c r="H25" s="7"/>
      <c r="I25" s="18"/>
    </row>
    <row r="26" spans="1:9" s="1" customFormat="1" ht="4.95" customHeight="1" x14ac:dyDescent="0.3">
      <c r="A26" s="2"/>
      <c r="B26"/>
      <c r="C26" s="2"/>
      <c r="D26" s="2"/>
      <c r="E26" s="2"/>
      <c r="F26" s="2"/>
      <c r="G26" s="25"/>
      <c r="H26" s="25"/>
      <c r="I26" s="25"/>
    </row>
  </sheetData>
  <mergeCells count="2">
    <mergeCell ref="C3:I3"/>
    <mergeCell ref="C4:I5"/>
  </mergeCells>
  <conditionalFormatting sqref="I7:I24">
    <cfRule type="cellIs" dxfId="2" priority="1" operator="equal">
      <formula>"Faltam Dados"</formula>
    </cfRule>
    <cfRule type="cellIs" dxfId="1" priority="2" operator="equal">
      <formula>"""Faltam dados"""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1CD2E8F-9822-4477-8E16-54127C9C54B7}">
          <x14:formula1>
            <xm:f>'TABELAS APOIO'!$D$7:$D$11</xm:f>
          </x14:formula1>
          <xm:sqref>D7:D24</xm:sqref>
        </x14:dataValidation>
        <x14:dataValidation type="list" allowBlank="1" showInputMessage="1" showErrorMessage="1" xr:uid="{D96DA387-9388-4D01-B1FA-CC2827FB35A4}">
          <x14:formula1>
            <xm:f>'TABELAS APOIO'!$E$7:$E$56</xm:f>
          </x14:formula1>
          <xm:sqref>C7:C24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941B-B4C9-48B7-A6BB-F7D85844E7CF}">
  <sheetPr>
    <tabColor theme="0" tint="-0.249977111117893"/>
  </sheetPr>
  <dimension ref="A1:K38"/>
  <sheetViews>
    <sheetView showGridLines="0" topLeftCell="A6" workbookViewId="0">
      <selection activeCell="H8" sqref="H8"/>
    </sheetView>
  </sheetViews>
  <sheetFormatPr defaultColWidth="0" defaultRowHeight="14.4" x14ac:dyDescent="0.3"/>
  <cols>
    <col min="1" max="1" width="28.77734375" customWidth="1"/>
    <col min="2" max="3" width="14.77734375" customWidth="1"/>
    <col min="4" max="4" width="25.77734375" customWidth="1"/>
    <col min="5" max="5" width="35.77734375" customWidth="1"/>
    <col min="6" max="7" width="14.77734375" customWidth="1"/>
    <col min="8" max="8" width="24.21875" bestFit="1" customWidth="1"/>
    <col min="9" max="9" width="17.21875" bestFit="1" customWidth="1"/>
    <col min="10" max="11" width="0" hidden="1" customWidth="1"/>
    <col min="12" max="16384" width="8.88671875" hidden="1"/>
  </cols>
  <sheetData>
    <row r="1" spans="1:9" x14ac:dyDescent="0.3">
      <c r="A1" s="2"/>
    </row>
    <row r="2" spans="1:9" x14ac:dyDescent="0.3">
      <c r="A2" s="2"/>
    </row>
    <row r="3" spans="1:9" ht="17.399999999999999" customHeight="1" x14ac:dyDescent="0.3">
      <c r="A3" s="2"/>
      <c r="C3" s="35" t="s">
        <v>140</v>
      </c>
      <c r="D3" s="35"/>
      <c r="E3" s="35"/>
      <c r="F3" s="35"/>
      <c r="G3" s="35"/>
      <c r="H3" s="35"/>
      <c r="I3" s="35"/>
    </row>
    <row r="4" spans="1:9" ht="17.399999999999999" customHeight="1" x14ac:dyDescent="0.3">
      <c r="A4" s="2"/>
      <c r="C4" s="36" t="s">
        <v>139</v>
      </c>
      <c r="D4" s="36"/>
      <c r="E4" s="36"/>
      <c r="F4" s="36"/>
      <c r="G4" s="36"/>
      <c r="H4" s="36"/>
      <c r="I4" s="36"/>
    </row>
    <row r="5" spans="1:9" ht="17.399999999999999" customHeight="1" x14ac:dyDescent="0.3">
      <c r="A5" s="2"/>
      <c r="C5" s="36"/>
      <c r="D5" s="36"/>
      <c r="E5" s="36"/>
      <c r="F5" s="36"/>
      <c r="G5" s="36"/>
      <c r="H5" s="36"/>
      <c r="I5" s="36"/>
    </row>
    <row r="6" spans="1:9" ht="17.399999999999999" customHeight="1" x14ac:dyDescent="0.3">
      <c r="A6" s="2"/>
      <c r="C6" s="13" t="s">
        <v>28</v>
      </c>
      <c r="D6" s="13" t="s">
        <v>34</v>
      </c>
      <c r="E6" s="13" t="s">
        <v>29</v>
      </c>
      <c r="F6" s="13" t="s">
        <v>30</v>
      </c>
      <c r="G6" s="13" t="s">
        <v>31</v>
      </c>
      <c r="H6" s="13" t="s">
        <v>32</v>
      </c>
      <c r="I6" s="13" t="s">
        <v>24</v>
      </c>
    </row>
    <row r="7" spans="1:9" ht="17.399999999999999" customHeight="1" x14ac:dyDescent="0.3">
      <c r="A7" s="2"/>
      <c r="C7" s="27" t="s">
        <v>128</v>
      </c>
      <c r="D7" s="27" t="s">
        <v>130</v>
      </c>
      <c r="E7" s="27" t="s">
        <v>44</v>
      </c>
      <c r="F7" s="28">
        <v>5000</v>
      </c>
      <c r="G7" s="28">
        <v>680</v>
      </c>
      <c r="H7" s="27" t="s">
        <v>142</v>
      </c>
      <c r="I7" s="26" t="str">
        <f>IF(COUNTA(C7:H7)=0,"",IF(OR(C7="",D7="",E7="",F7="",G7=""),"Faltam dados",IF(H7="","Conferir documento","Registrado")))</f>
        <v>Registrado</v>
      </c>
    </row>
    <row r="8" spans="1:9" ht="17.399999999999999" customHeight="1" x14ac:dyDescent="0.3">
      <c r="A8" s="2"/>
      <c r="C8" s="27" t="s">
        <v>128</v>
      </c>
      <c r="D8" s="27" t="s">
        <v>129</v>
      </c>
      <c r="E8" s="27" t="s">
        <v>42</v>
      </c>
      <c r="F8" s="28">
        <v>55000</v>
      </c>
      <c r="G8" s="28">
        <v>1200</v>
      </c>
      <c r="H8" s="27" t="s">
        <v>132</v>
      </c>
      <c r="I8" s="26" t="str">
        <f t="shared" ref="I8:I25" si="0">IF(COUNTA(C8:H8)=0,"",IF(OR(C8="",D8="",E8="",F8="",G8=""),"Faltam dados",IF(H8="","Conferir documento","Registrado")))</f>
        <v>Registrado</v>
      </c>
    </row>
    <row r="9" spans="1:9" ht="17.399999999999999" customHeight="1" x14ac:dyDescent="0.3">
      <c r="A9" s="2"/>
      <c r="C9" s="27" t="s">
        <v>128</v>
      </c>
      <c r="D9" s="27" t="s">
        <v>129</v>
      </c>
      <c r="E9" s="27" t="s">
        <v>48</v>
      </c>
      <c r="F9" s="28">
        <v>5000</v>
      </c>
      <c r="G9" s="28">
        <v>450</v>
      </c>
      <c r="H9" s="27" t="s">
        <v>132</v>
      </c>
      <c r="I9" s="26" t="str">
        <f t="shared" si="0"/>
        <v>Registrado</v>
      </c>
    </row>
    <row r="10" spans="1:9" ht="17.399999999999999" customHeight="1" x14ac:dyDescent="0.3">
      <c r="A10" s="2"/>
      <c r="C10" s="27" t="s">
        <v>128</v>
      </c>
      <c r="D10" s="27" t="s">
        <v>129</v>
      </c>
      <c r="E10" s="27" t="s">
        <v>52</v>
      </c>
      <c r="F10" s="28">
        <v>3000</v>
      </c>
      <c r="G10" s="28">
        <v>750</v>
      </c>
      <c r="H10" s="27" t="s">
        <v>132</v>
      </c>
      <c r="I10" s="26" t="str">
        <f t="shared" si="0"/>
        <v>Registrado</v>
      </c>
    </row>
    <row r="11" spans="1:9" ht="17.399999999999999" customHeight="1" x14ac:dyDescent="0.3">
      <c r="A11" s="2"/>
      <c r="C11" s="27" t="s">
        <v>128</v>
      </c>
      <c r="D11" s="27" t="s">
        <v>129</v>
      </c>
      <c r="E11" s="27" t="s">
        <v>49</v>
      </c>
      <c r="F11" s="28">
        <v>2500</v>
      </c>
      <c r="G11" s="28">
        <v>0</v>
      </c>
      <c r="H11" s="27" t="s">
        <v>132</v>
      </c>
      <c r="I11" s="26" t="str">
        <f t="shared" si="0"/>
        <v>Registrado</v>
      </c>
    </row>
    <row r="12" spans="1:9" ht="17.399999999999999" customHeight="1" x14ac:dyDescent="0.3">
      <c r="A12" s="2"/>
      <c r="C12" s="27" t="s">
        <v>41</v>
      </c>
      <c r="D12" s="27" t="s">
        <v>133</v>
      </c>
      <c r="E12" s="27" t="s">
        <v>50</v>
      </c>
      <c r="F12" s="28">
        <v>1200</v>
      </c>
      <c r="G12" s="28">
        <v>198</v>
      </c>
      <c r="H12" s="27" t="s">
        <v>134</v>
      </c>
      <c r="I12" s="26" t="str">
        <f t="shared" si="0"/>
        <v>Registrado</v>
      </c>
    </row>
    <row r="13" spans="1:9" ht="17.399999999999999" customHeight="1" x14ac:dyDescent="0.3">
      <c r="A13" s="2"/>
      <c r="C13" s="27" t="s">
        <v>41</v>
      </c>
      <c r="D13" s="27" t="s">
        <v>135</v>
      </c>
      <c r="E13" s="27" t="s">
        <v>51</v>
      </c>
      <c r="F13" s="28">
        <v>25000</v>
      </c>
      <c r="G13" s="28">
        <v>1123</v>
      </c>
      <c r="H13" s="27" t="s">
        <v>136</v>
      </c>
      <c r="I13" s="26" t="str">
        <f t="shared" si="0"/>
        <v>Registrado</v>
      </c>
    </row>
    <row r="14" spans="1:9" ht="17.399999999999999" customHeight="1" x14ac:dyDescent="0.3">
      <c r="A14" s="2"/>
      <c r="C14" s="27" t="s">
        <v>41</v>
      </c>
      <c r="D14" s="27" t="s">
        <v>131</v>
      </c>
      <c r="E14" s="27" t="s">
        <v>45</v>
      </c>
      <c r="F14" s="28">
        <v>18000</v>
      </c>
      <c r="G14" s="28">
        <v>0</v>
      </c>
      <c r="H14" s="27" t="s">
        <v>137</v>
      </c>
      <c r="I14" s="26" t="str">
        <f t="shared" si="0"/>
        <v>Registrado</v>
      </c>
    </row>
    <row r="15" spans="1:9" ht="17.399999999999999" customHeight="1" x14ac:dyDescent="0.3">
      <c r="A15" s="2"/>
      <c r="C15" s="27"/>
      <c r="D15" s="27"/>
      <c r="E15" s="27"/>
      <c r="F15" s="28"/>
      <c r="G15" s="28"/>
      <c r="H15" s="27"/>
      <c r="I15" s="26" t="str">
        <f t="shared" si="0"/>
        <v/>
      </c>
    </row>
    <row r="16" spans="1:9" ht="17.399999999999999" customHeight="1" x14ac:dyDescent="0.3">
      <c r="A16" s="2"/>
      <c r="C16" s="27"/>
      <c r="D16" s="27"/>
      <c r="E16" s="27"/>
      <c r="F16" s="28"/>
      <c r="G16" s="28"/>
      <c r="H16" s="27"/>
      <c r="I16" s="26" t="str">
        <f t="shared" si="0"/>
        <v/>
      </c>
    </row>
    <row r="17" spans="1:9" ht="17.399999999999999" customHeight="1" x14ac:dyDescent="0.3">
      <c r="A17" s="2"/>
      <c r="C17" s="27"/>
      <c r="D17" s="27"/>
      <c r="E17" s="27"/>
      <c r="F17" s="28"/>
      <c r="G17" s="28"/>
      <c r="H17" s="27"/>
      <c r="I17" s="26" t="str">
        <f t="shared" si="0"/>
        <v/>
      </c>
    </row>
    <row r="18" spans="1:9" ht="17.399999999999999" customHeight="1" x14ac:dyDescent="0.3">
      <c r="A18" s="2"/>
      <c r="C18" s="27"/>
      <c r="D18" s="27"/>
      <c r="E18" s="27"/>
      <c r="F18" s="28"/>
      <c r="G18" s="28"/>
      <c r="H18" s="27"/>
      <c r="I18" s="26" t="str">
        <f t="shared" si="0"/>
        <v/>
      </c>
    </row>
    <row r="19" spans="1:9" ht="17.399999999999999" customHeight="1" x14ac:dyDescent="0.3">
      <c r="A19" s="2"/>
      <c r="C19" s="27"/>
      <c r="D19" s="27"/>
      <c r="E19" s="27"/>
      <c r="F19" s="28"/>
      <c r="G19" s="28"/>
      <c r="H19" s="27"/>
      <c r="I19" s="26" t="str">
        <f t="shared" si="0"/>
        <v/>
      </c>
    </row>
    <row r="20" spans="1:9" ht="17.399999999999999" customHeight="1" x14ac:dyDescent="0.3">
      <c r="A20" s="2"/>
      <c r="C20" s="27"/>
      <c r="D20" s="27"/>
      <c r="E20" s="27"/>
      <c r="F20" s="28"/>
      <c r="G20" s="28"/>
      <c r="H20" s="27"/>
      <c r="I20" s="26" t="str">
        <f t="shared" si="0"/>
        <v/>
      </c>
    </row>
    <row r="21" spans="1:9" x14ac:dyDescent="0.3">
      <c r="A21" s="2"/>
      <c r="C21" s="27"/>
      <c r="D21" s="27"/>
      <c r="E21" s="27"/>
      <c r="F21" s="28"/>
      <c r="G21" s="28"/>
      <c r="H21" s="27"/>
      <c r="I21" s="26" t="str">
        <f t="shared" si="0"/>
        <v/>
      </c>
    </row>
    <row r="22" spans="1:9" x14ac:dyDescent="0.3">
      <c r="A22" s="2"/>
      <c r="C22" s="27"/>
      <c r="D22" s="27"/>
      <c r="E22" s="27"/>
      <c r="F22" s="28"/>
      <c r="G22" s="28"/>
      <c r="H22" s="27"/>
      <c r="I22" s="26" t="str">
        <f t="shared" si="0"/>
        <v/>
      </c>
    </row>
    <row r="23" spans="1:9" x14ac:dyDescent="0.3">
      <c r="A23" s="2"/>
      <c r="C23" s="27"/>
      <c r="D23" s="27"/>
      <c r="E23" s="27"/>
      <c r="F23" s="28"/>
      <c r="G23" s="28"/>
      <c r="H23" s="27"/>
      <c r="I23" s="26" t="str">
        <f t="shared" si="0"/>
        <v/>
      </c>
    </row>
    <row r="24" spans="1:9" x14ac:dyDescent="0.3">
      <c r="A24" s="2"/>
      <c r="C24" s="27"/>
      <c r="D24" s="27"/>
      <c r="E24" s="27"/>
      <c r="F24" s="28"/>
      <c r="G24" s="28"/>
      <c r="H24" s="27"/>
      <c r="I24" s="26" t="str">
        <f t="shared" si="0"/>
        <v/>
      </c>
    </row>
    <row r="25" spans="1:9" x14ac:dyDescent="0.3">
      <c r="A25" s="29" t="s">
        <v>138</v>
      </c>
      <c r="B25" s="34"/>
      <c r="C25" s="27"/>
      <c r="D25" s="27"/>
      <c r="E25" s="27"/>
      <c r="F25" s="28"/>
      <c r="G25" s="28"/>
      <c r="H25" s="27"/>
      <c r="I25" s="26" t="str">
        <f t="shared" si="0"/>
        <v/>
      </c>
    </row>
    <row r="26" spans="1:9" ht="4.95" customHeight="1" x14ac:dyDescent="0.3">
      <c r="A26" s="2"/>
      <c r="C26" s="2"/>
      <c r="D26" s="2"/>
      <c r="E26" s="2"/>
      <c r="F26" s="2"/>
      <c r="G26" s="2"/>
      <c r="H26" s="2"/>
      <c r="I26" s="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</sheetData>
  <mergeCells count="2">
    <mergeCell ref="C3:I3"/>
    <mergeCell ref="C4:I5"/>
  </mergeCells>
  <conditionalFormatting sqref="I7:I25">
    <cfRule type="cellIs" dxfId="0" priority="1" operator="equal">
      <formula>"Faltam dados"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2B1042-914E-4B8B-98CE-91B8EA31E73A}">
          <x14:formula1>
            <xm:f>'TABELAS APOIO'!$B$7:$B$8</xm:f>
          </x14:formula1>
          <xm:sqref>C7:C25</xm:sqref>
        </x14:dataValidation>
        <x14:dataValidation type="list" allowBlank="1" showInputMessage="1" showErrorMessage="1" xr:uid="{B9172DE7-1AC8-4565-8FDC-B16B0E8E8FD1}">
          <x14:formula1>
            <xm:f>'TABELAS APOIO'!$C$7:$C$19</xm:f>
          </x14:formula1>
          <xm:sqref>E7:E25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1B48-18C7-4189-B4A7-070126EC6007}">
  <sheetPr codeName="Planilha7">
    <tabColor theme="0" tint="-0.249977111117893"/>
  </sheetPr>
  <dimension ref="A1:F56"/>
  <sheetViews>
    <sheetView showGridLines="0" workbookViewId="0">
      <selection activeCell="C7" sqref="C7:C19"/>
    </sheetView>
  </sheetViews>
  <sheetFormatPr defaultColWidth="0" defaultRowHeight="17.399999999999999" x14ac:dyDescent="0.35"/>
  <cols>
    <col min="1" max="1" width="0.88671875" style="19" customWidth="1"/>
    <col min="2" max="2" width="31.21875" customWidth="1"/>
    <col min="3" max="3" width="24.44140625" customWidth="1"/>
    <col min="4" max="4" width="25.6640625" customWidth="1"/>
    <col min="5" max="5" width="31" customWidth="1"/>
    <col min="6" max="6" width="0.88671875" style="19" customWidth="1"/>
    <col min="7" max="16384" width="8.88671875" hidden="1"/>
  </cols>
  <sheetData>
    <row r="1" spans="1:6" ht="4.95" customHeight="1" x14ac:dyDescent="0.35">
      <c r="A1" s="12"/>
      <c r="B1" s="12"/>
      <c r="C1" s="12"/>
      <c r="D1" s="12"/>
      <c r="E1" s="12"/>
      <c r="F1" s="12"/>
    </row>
    <row r="2" spans="1:6" x14ac:dyDescent="0.35">
      <c r="A2" s="12"/>
      <c r="B2" s="14" t="s">
        <v>35</v>
      </c>
      <c r="C2" s="4"/>
      <c r="D2" s="4"/>
      <c r="E2" s="4"/>
      <c r="F2" s="12"/>
    </row>
    <row r="3" spans="1:6" ht="4.95" customHeight="1" x14ac:dyDescent="0.35">
      <c r="A3" s="12"/>
      <c r="B3" s="12"/>
      <c r="C3" s="12"/>
      <c r="D3" s="12"/>
      <c r="E3" s="12"/>
      <c r="F3" s="12"/>
    </row>
    <row r="4" spans="1:6" x14ac:dyDescent="0.35">
      <c r="A4" s="12"/>
      <c r="B4" s="36" t="s">
        <v>36</v>
      </c>
      <c r="C4" s="36"/>
      <c r="D4" s="36"/>
      <c r="E4" s="36"/>
      <c r="F4" s="12"/>
    </row>
    <row r="5" spans="1:6" x14ac:dyDescent="0.35">
      <c r="A5" s="12"/>
      <c r="B5" s="36"/>
      <c r="C5" s="36"/>
      <c r="D5" s="36"/>
      <c r="E5" s="36"/>
      <c r="F5" s="12"/>
    </row>
    <row r="6" spans="1:6" x14ac:dyDescent="0.35">
      <c r="A6" s="12"/>
      <c r="B6" s="20" t="s">
        <v>37</v>
      </c>
      <c r="C6" s="20" t="s">
        <v>38</v>
      </c>
      <c r="D6" s="20" t="s">
        <v>39</v>
      </c>
      <c r="E6" s="21" t="s">
        <v>40</v>
      </c>
      <c r="F6" s="12"/>
    </row>
    <row r="7" spans="1:6" x14ac:dyDescent="0.35">
      <c r="A7" s="12"/>
      <c r="B7" s="3" t="s">
        <v>128</v>
      </c>
      <c r="C7" s="3" t="s">
        <v>42</v>
      </c>
      <c r="D7" s="3" t="s">
        <v>55</v>
      </c>
      <c r="E7" s="3" t="s">
        <v>60</v>
      </c>
      <c r="F7" s="12"/>
    </row>
    <row r="8" spans="1:6" x14ac:dyDescent="0.35">
      <c r="A8" s="12"/>
      <c r="B8" s="3" t="s">
        <v>41</v>
      </c>
      <c r="C8" s="3" t="s">
        <v>43</v>
      </c>
      <c r="D8" s="3" t="s">
        <v>56</v>
      </c>
      <c r="E8" s="3" t="s">
        <v>61</v>
      </c>
      <c r="F8" s="12"/>
    </row>
    <row r="9" spans="1:6" x14ac:dyDescent="0.35">
      <c r="A9" s="12"/>
      <c r="C9" s="3" t="s">
        <v>44</v>
      </c>
      <c r="D9" s="3" t="s">
        <v>57</v>
      </c>
      <c r="E9" s="3" t="s">
        <v>62</v>
      </c>
      <c r="F9" s="12"/>
    </row>
    <row r="10" spans="1:6" x14ac:dyDescent="0.35">
      <c r="A10" s="12"/>
      <c r="C10" s="3" t="s">
        <v>45</v>
      </c>
      <c r="D10" s="3" t="s">
        <v>58</v>
      </c>
      <c r="E10" s="3" t="s">
        <v>63</v>
      </c>
      <c r="F10" s="12"/>
    </row>
    <row r="11" spans="1:6" x14ac:dyDescent="0.35">
      <c r="A11" s="12"/>
      <c r="C11" s="3" t="s">
        <v>46</v>
      </c>
      <c r="D11" s="3" t="s">
        <v>59</v>
      </c>
      <c r="E11" s="3" t="s">
        <v>64</v>
      </c>
      <c r="F11" s="12"/>
    </row>
    <row r="12" spans="1:6" x14ac:dyDescent="0.35">
      <c r="A12" s="12"/>
      <c r="C12" s="3" t="s">
        <v>47</v>
      </c>
      <c r="E12" s="3" t="s">
        <v>65</v>
      </c>
      <c r="F12" s="12"/>
    </row>
    <row r="13" spans="1:6" x14ac:dyDescent="0.35">
      <c r="A13" s="12"/>
      <c r="C13" s="3" t="s">
        <v>48</v>
      </c>
      <c r="E13" s="3" t="s">
        <v>66</v>
      </c>
      <c r="F13" s="12"/>
    </row>
    <row r="14" spans="1:6" x14ac:dyDescent="0.35">
      <c r="A14" s="12"/>
      <c r="C14" s="3" t="s">
        <v>49</v>
      </c>
      <c r="E14" s="3" t="s">
        <v>67</v>
      </c>
      <c r="F14" s="12"/>
    </row>
    <row r="15" spans="1:6" s="12" customFormat="1" x14ac:dyDescent="0.35">
      <c r="B15"/>
      <c r="C15" s="3" t="s">
        <v>50</v>
      </c>
      <c r="D15"/>
      <c r="E15" s="3" t="s">
        <v>68</v>
      </c>
    </row>
    <row r="16" spans="1:6" s="12" customFormat="1" x14ac:dyDescent="0.35">
      <c r="B16"/>
      <c r="C16" s="3" t="s">
        <v>51</v>
      </c>
      <c r="D16"/>
      <c r="E16" s="3" t="s">
        <v>69</v>
      </c>
    </row>
    <row r="17" spans="2:5" s="12" customFormat="1" x14ac:dyDescent="0.35">
      <c r="B17"/>
      <c r="C17" s="3" t="s">
        <v>52</v>
      </c>
      <c r="D17"/>
      <c r="E17" s="3" t="s">
        <v>70</v>
      </c>
    </row>
    <row r="18" spans="2:5" s="12" customFormat="1" x14ac:dyDescent="0.35">
      <c r="B18"/>
      <c r="C18" s="3" t="s">
        <v>53</v>
      </c>
      <c r="D18"/>
      <c r="E18" s="3" t="s">
        <v>71</v>
      </c>
    </row>
    <row r="19" spans="2:5" s="12" customFormat="1" x14ac:dyDescent="0.35">
      <c r="B19"/>
      <c r="C19" s="3" t="s">
        <v>54</v>
      </c>
      <c r="D19"/>
      <c r="E19" s="3" t="s">
        <v>72</v>
      </c>
    </row>
    <row r="20" spans="2:5" s="12" customFormat="1" x14ac:dyDescent="0.35">
      <c r="B20"/>
      <c r="C20"/>
      <c r="D20"/>
      <c r="E20" s="3" t="s">
        <v>73</v>
      </c>
    </row>
    <row r="21" spans="2:5" s="12" customFormat="1" x14ac:dyDescent="0.35">
      <c r="B21"/>
      <c r="C21"/>
      <c r="D21"/>
      <c r="E21" s="3" t="s">
        <v>74</v>
      </c>
    </row>
    <row r="22" spans="2:5" s="12" customFormat="1" x14ac:dyDescent="0.35">
      <c r="B22"/>
      <c r="C22"/>
      <c r="D22"/>
      <c r="E22" s="3" t="s">
        <v>75</v>
      </c>
    </row>
    <row r="23" spans="2:5" s="12" customFormat="1" x14ac:dyDescent="0.35">
      <c r="B23"/>
      <c r="C23"/>
      <c r="D23"/>
      <c r="E23" s="3" t="s">
        <v>76</v>
      </c>
    </row>
    <row r="24" spans="2:5" s="12" customFormat="1" x14ac:dyDescent="0.35">
      <c r="B24"/>
      <c r="C24"/>
      <c r="D24"/>
      <c r="E24" s="3" t="s">
        <v>77</v>
      </c>
    </row>
    <row r="25" spans="2:5" s="12" customFormat="1" x14ac:dyDescent="0.35">
      <c r="B25"/>
      <c r="C25"/>
      <c r="D25"/>
      <c r="E25" s="3" t="s">
        <v>78</v>
      </c>
    </row>
    <row r="26" spans="2:5" s="12" customFormat="1" x14ac:dyDescent="0.35">
      <c r="B26"/>
      <c r="C26"/>
      <c r="D26"/>
      <c r="E26" s="3" t="s">
        <v>79</v>
      </c>
    </row>
    <row r="27" spans="2:5" s="12" customFormat="1" x14ac:dyDescent="0.35">
      <c r="B27"/>
      <c r="C27"/>
      <c r="D27"/>
      <c r="E27" s="3" t="s">
        <v>80</v>
      </c>
    </row>
    <row r="28" spans="2:5" s="12" customFormat="1" x14ac:dyDescent="0.35">
      <c r="B28"/>
      <c r="C28"/>
      <c r="D28"/>
      <c r="E28" s="3" t="s">
        <v>81</v>
      </c>
    </row>
    <row r="29" spans="2:5" s="12" customFormat="1" x14ac:dyDescent="0.35">
      <c r="B29"/>
      <c r="C29"/>
      <c r="D29"/>
      <c r="E29" s="3" t="s">
        <v>82</v>
      </c>
    </row>
    <row r="30" spans="2:5" s="12" customFormat="1" x14ac:dyDescent="0.35">
      <c r="B30"/>
      <c r="C30"/>
      <c r="D30"/>
      <c r="E30" s="3" t="s">
        <v>83</v>
      </c>
    </row>
    <row r="31" spans="2:5" s="12" customFormat="1" x14ac:dyDescent="0.35">
      <c r="B31"/>
      <c r="C31"/>
      <c r="D31"/>
      <c r="E31" s="3" t="s">
        <v>84</v>
      </c>
    </row>
    <row r="32" spans="2:5" s="12" customFormat="1" x14ac:dyDescent="0.35">
      <c r="B32"/>
      <c r="C32"/>
      <c r="D32"/>
      <c r="E32" s="3" t="s">
        <v>85</v>
      </c>
    </row>
    <row r="33" spans="2:5" s="12" customFormat="1" x14ac:dyDescent="0.35">
      <c r="B33"/>
      <c r="C33"/>
      <c r="D33"/>
      <c r="E33" s="3" t="s">
        <v>86</v>
      </c>
    </row>
    <row r="34" spans="2:5" s="12" customFormat="1" x14ac:dyDescent="0.35">
      <c r="B34"/>
      <c r="C34"/>
      <c r="D34"/>
      <c r="E34" s="3" t="s">
        <v>87</v>
      </c>
    </row>
    <row r="35" spans="2:5" s="12" customFormat="1" x14ac:dyDescent="0.35">
      <c r="B35"/>
      <c r="C35"/>
      <c r="D35"/>
      <c r="E35" s="3" t="s">
        <v>88</v>
      </c>
    </row>
    <row r="36" spans="2:5" s="12" customFormat="1" x14ac:dyDescent="0.35">
      <c r="B36"/>
      <c r="C36"/>
      <c r="D36"/>
      <c r="E36" s="3" t="s">
        <v>89</v>
      </c>
    </row>
    <row r="37" spans="2:5" s="12" customFormat="1" x14ac:dyDescent="0.35">
      <c r="B37"/>
      <c r="C37"/>
      <c r="D37"/>
      <c r="E37" s="3" t="s">
        <v>90</v>
      </c>
    </row>
    <row r="38" spans="2:5" s="12" customFormat="1" x14ac:dyDescent="0.35">
      <c r="B38"/>
      <c r="C38"/>
      <c r="D38"/>
      <c r="E38" s="3" t="s">
        <v>91</v>
      </c>
    </row>
    <row r="39" spans="2:5" s="12" customFormat="1" x14ac:dyDescent="0.35">
      <c r="B39"/>
      <c r="C39"/>
      <c r="D39"/>
      <c r="E39" s="3" t="s">
        <v>92</v>
      </c>
    </row>
    <row r="40" spans="2:5" s="12" customFormat="1" x14ac:dyDescent="0.35">
      <c r="B40"/>
      <c r="C40"/>
      <c r="D40"/>
      <c r="E40" s="3" t="s">
        <v>93</v>
      </c>
    </row>
    <row r="41" spans="2:5" s="12" customFormat="1" x14ac:dyDescent="0.35">
      <c r="B41"/>
      <c r="C41"/>
      <c r="D41"/>
      <c r="E41" s="3" t="s">
        <v>94</v>
      </c>
    </row>
    <row r="42" spans="2:5" s="12" customFormat="1" x14ac:dyDescent="0.35">
      <c r="B42"/>
      <c r="C42"/>
      <c r="D42"/>
      <c r="E42" s="3" t="s">
        <v>95</v>
      </c>
    </row>
    <row r="43" spans="2:5" s="12" customFormat="1" x14ac:dyDescent="0.35">
      <c r="B43"/>
      <c r="C43"/>
      <c r="D43"/>
      <c r="E43" s="3" t="s">
        <v>96</v>
      </c>
    </row>
    <row r="44" spans="2:5" s="12" customFormat="1" x14ac:dyDescent="0.35">
      <c r="B44"/>
      <c r="C44"/>
      <c r="D44"/>
      <c r="E44" s="3" t="s">
        <v>97</v>
      </c>
    </row>
    <row r="45" spans="2:5" s="12" customFormat="1" x14ac:dyDescent="0.35">
      <c r="B45"/>
      <c r="C45"/>
      <c r="D45"/>
      <c r="E45" s="3" t="s">
        <v>98</v>
      </c>
    </row>
    <row r="46" spans="2:5" s="12" customFormat="1" x14ac:dyDescent="0.35">
      <c r="B46"/>
      <c r="C46"/>
      <c r="D46"/>
      <c r="E46" s="3" t="s">
        <v>99</v>
      </c>
    </row>
    <row r="47" spans="2:5" s="12" customFormat="1" x14ac:dyDescent="0.35">
      <c r="B47"/>
      <c r="C47"/>
      <c r="D47"/>
      <c r="E47" s="3" t="s">
        <v>100</v>
      </c>
    </row>
    <row r="48" spans="2:5" s="12" customFormat="1" x14ac:dyDescent="0.35">
      <c r="B48"/>
      <c r="C48"/>
      <c r="D48"/>
      <c r="E48" s="3" t="s">
        <v>101</v>
      </c>
    </row>
    <row r="49" spans="1:5" s="12" customFormat="1" x14ac:dyDescent="0.35">
      <c r="B49"/>
      <c r="C49"/>
      <c r="D49"/>
      <c r="E49" s="3" t="s">
        <v>102</v>
      </c>
    </row>
    <row r="50" spans="1:5" s="12" customFormat="1" x14ac:dyDescent="0.35">
      <c r="B50"/>
      <c r="C50"/>
      <c r="D50"/>
      <c r="E50" s="3" t="s">
        <v>103</v>
      </c>
    </row>
    <row r="51" spans="1:5" s="12" customFormat="1" x14ac:dyDescent="0.35">
      <c r="B51"/>
      <c r="C51"/>
      <c r="D51"/>
      <c r="E51" s="3" t="s">
        <v>104</v>
      </c>
    </row>
    <row r="52" spans="1:5" s="12" customFormat="1" x14ac:dyDescent="0.35">
      <c r="B52"/>
      <c r="C52"/>
      <c r="D52"/>
      <c r="E52" s="3" t="s">
        <v>105</v>
      </c>
    </row>
    <row r="53" spans="1:5" s="12" customFormat="1" x14ac:dyDescent="0.35">
      <c r="B53"/>
      <c r="C53"/>
      <c r="D53"/>
      <c r="E53" s="3" t="s">
        <v>106</v>
      </c>
    </row>
    <row r="54" spans="1:5" s="12" customFormat="1" x14ac:dyDescent="0.35">
      <c r="B54"/>
      <c r="C54"/>
      <c r="D54"/>
      <c r="E54" s="3" t="s">
        <v>107</v>
      </c>
    </row>
    <row r="55" spans="1:5" s="12" customFormat="1" x14ac:dyDescent="0.35">
      <c r="B55"/>
      <c r="C55"/>
      <c r="D55"/>
      <c r="E55" s="3" t="s">
        <v>108</v>
      </c>
    </row>
    <row r="56" spans="1:5" s="12" customFormat="1" x14ac:dyDescent="0.35">
      <c r="A56" s="19"/>
      <c r="B56"/>
      <c r="C56"/>
      <c r="D56"/>
      <c r="E56" s="3" t="s">
        <v>109</v>
      </c>
    </row>
  </sheetData>
  <mergeCells count="1">
    <mergeCell ref="B4:E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INÍCIO</vt:lpstr>
      <vt:lpstr>TITULAR </vt:lpstr>
      <vt:lpstr>INFORMES </vt:lpstr>
      <vt:lpstr>LANÇAMENTOS </vt:lpstr>
      <vt:lpstr>TABELAS APOIO</vt:lpstr>
      <vt:lpstr>Bancos</vt:lpstr>
      <vt:lpstr>Categoria</vt:lpstr>
      <vt:lpstr>Categorias</vt:lpstr>
      <vt:lpstr>Tipo_Informe</vt:lpstr>
      <vt:lpstr>Tipo_Registro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Jakeline Martins</dc:creator>
  <cp:lastModifiedBy>Jakeline Martins</cp:lastModifiedBy>
  <dcterms:created xsi:type="dcterms:W3CDTF">2026-10-11T15:26:51Z</dcterms:created>
  <dcterms:modified xsi:type="dcterms:W3CDTF">2026-10-13T15:56:44Z</dcterms:modified>
</cp:coreProperties>
</file>